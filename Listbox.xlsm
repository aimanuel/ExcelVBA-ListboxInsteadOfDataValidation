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 Imanuel\Google Drive\Freelance Excel Documentation\_Bahan belajar\12. Listbox as alternatives for data validation list\"/>
    </mc:Choice>
  </mc:AlternateContent>
  <bookViews>
    <workbookView xWindow="320" yWindow="80" windowWidth="15300" windowHeight="5580"/>
  </bookViews>
  <sheets>
    <sheet name="Project 1" sheetId="1" r:id="rId1"/>
    <sheet name="SourceData" sheetId="2" r:id="rId2"/>
  </sheets>
  <definedNames>
    <definedName name="FieldTime">Table2[]</definedName>
    <definedName name="FieldTimeSearch">SourceData!$P$2</definedName>
    <definedName name="FieldTimeSearchRslt">SourceData!$O$5:$Q$24</definedName>
    <definedName name="JobDesc">Table1[]</definedName>
    <definedName name="OfficeTime">Table3[]</definedName>
  </definedNames>
  <calcPr calcId="162913" concurrentCalc="0"/>
</workbook>
</file>

<file path=xl/calcChain.xml><?xml version="1.0" encoding="utf-8"?>
<calcChain xmlns="http://schemas.openxmlformats.org/spreadsheetml/2006/main">
  <c r="S5" i="2" l="1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O6" i="2"/>
  <c r="P6" i="2"/>
  <c r="Q6" i="2"/>
  <c r="O7" i="2"/>
  <c r="P7" i="2"/>
  <c r="Q7" i="2"/>
  <c r="O8" i="2"/>
  <c r="P8" i="2"/>
  <c r="Q8" i="2"/>
  <c r="O9" i="2"/>
  <c r="P9" i="2"/>
  <c r="Q9" i="2"/>
  <c r="O10" i="2"/>
  <c r="P10" i="2"/>
  <c r="Q10" i="2"/>
  <c r="O11" i="2"/>
  <c r="P11" i="2"/>
  <c r="Q11" i="2"/>
  <c r="O12" i="2"/>
  <c r="P12" i="2"/>
  <c r="Q12" i="2"/>
  <c r="O13" i="2"/>
  <c r="P13" i="2"/>
  <c r="Q13" i="2"/>
  <c r="O14" i="2"/>
  <c r="P14" i="2"/>
  <c r="Q14" i="2"/>
  <c r="O15" i="2"/>
  <c r="P15" i="2"/>
  <c r="Q15" i="2"/>
  <c r="O16" i="2"/>
  <c r="P16" i="2"/>
  <c r="Q16" i="2"/>
  <c r="O17" i="2"/>
  <c r="P17" i="2"/>
  <c r="Q17" i="2"/>
  <c r="O18" i="2"/>
  <c r="P18" i="2"/>
  <c r="Q18" i="2"/>
  <c r="O19" i="2"/>
  <c r="P19" i="2"/>
  <c r="Q19" i="2"/>
  <c r="O20" i="2"/>
  <c r="P20" i="2"/>
  <c r="Q20" i="2"/>
  <c r="O21" i="2"/>
  <c r="P21" i="2"/>
  <c r="Q21" i="2"/>
  <c r="O22" i="2"/>
  <c r="P22" i="2"/>
  <c r="Q22" i="2"/>
  <c r="O23" i="2"/>
  <c r="P23" i="2"/>
  <c r="Q23" i="2"/>
  <c r="O24" i="2"/>
  <c r="P24" i="2"/>
  <c r="Q24" i="2"/>
  <c r="Q5" i="2"/>
  <c r="P5" i="2"/>
  <c r="O5" i="2"/>
  <c r="U6" i="2"/>
  <c r="V6" i="2"/>
  <c r="W6" i="2"/>
  <c r="U7" i="2"/>
  <c r="V7" i="2"/>
  <c r="W7" i="2"/>
  <c r="U8" i="2"/>
  <c r="V8" i="2"/>
  <c r="W8" i="2"/>
  <c r="U9" i="2"/>
  <c r="V9" i="2"/>
  <c r="W9" i="2"/>
  <c r="U10" i="2"/>
  <c r="V10" i="2"/>
  <c r="W10" i="2"/>
  <c r="U11" i="2"/>
  <c r="V11" i="2"/>
  <c r="W11" i="2"/>
  <c r="U12" i="2"/>
  <c r="V12" i="2"/>
  <c r="W12" i="2"/>
  <c r="U13" i="2"/>
  <c r="V13" i="2"/>
  <c r="W13" i="2"/>
  <c r="U14" i="2"/>
  <c r="V14" i="2"/>
  <c r="W14" i="2"/>
  <c r="U15" i="2"/>
  <c r="V15" i="2"/>
  <c r="W15" i="2"/>
  <c r="U16" i="2"/>
  <c r="V16" i="2"/>
  <c r="W16" i="2"/>
  <c r="U17" i="2"/>
  <c r="V17" i="2"/>
  <c r="W17" i="2"/>
  <c r="U18" i="2"/>
  <c r="V18" i="2"/>
  <c r="W18" i="2"/>
  <c r="U19" i="2"/>
  <c r="V19" i="2"/>
  <c r="W19" i="2"/>
  <c r="U20" i="2"/>
  <c r="V20" i="2"/>
  <c r="W20" i="2"/>
  <c r="U21" i="2"/>
  <c r="V21" i="2"/>
  <c r="W21" i="2"/>
  <c r="U22" i="2"/>
  <c r="V22" i="2"/>
  <c r="W22" i="2"/>
  <c r="U23" i="2"/>
  <c r="V23" i="2"/>
  <c r="W23" i="2"/>
  <c r="U24" i="2"/>
  <c r="V24" i="2"/>
  <c r="W24" i="2"/>
  <c r="U25" i="2"/>
  <c r="V25" i="2"/>
  <c r="W25" i="2"/>
  <c r="U26" i="2"/>
  <c r="V26" i="2"/>
  <c r="W26" i="2"/>
  <c r="U27" i="2"/>
  <c r="V27" i="2"/>
  <c r="W27" i="2"/>
  <c r="U28" i="2"/>
  <c r="V28" i="2"/>
  <c r="W28" i="2"/>
  <c r="U29" i="2"/>
  <c r="V29" i="2"/>
  <c r="W29" i="2"/>
  <c r="U30" i="2"/>
  <c r="V30" i="2"/>
  <c r="W30" i="2"/>
  <c r="U31" i="2"/>
  <c r="V31" i="2"/>
  <c r="W31" i="2"/>
  <c r="W5" i="2"/>
  <c r="V5" i="2"/>
  <c r="U5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F7" i="1"/>
  <c r="C9" i="1"/>
  <c r="C8" i="1"/>
  <c r="F28" i="1"/>
  <c r="F27" i="1"/>
  <c r="F26" i="1"/>
  <c r="F25" i="1"/>
  <c r="F24" i="1"/>
  <c r="F23" i="1"/>
  <c r="F22" i="1"/>
  <c r="F21" i="1"/>
  <c r="F20" i="1"/>
  <c r="F19" i="1"/>
  <c r="E28" i="1"/>
  <c r="E27" i="1"/>
  <c r="E26" i="1"/>
  <c r="E25" i="1"/>
  <c r="E24" i="1"/>
  <c r="E23" i="1"/>
  <c r="E22" i="1"/>
  <c r="E21" i="1"/>
  <c r="E20" i="1"/>
  <c r="E19" i="1"/>
  <c r="F17" i="1"/>
  <c r="F16" i="1"/>
  <c r="F15" i="1"/>
  <c r="F14" i="1"/>
  <c r="F13" i="1"/>
  <c r="F12" i="1"/>
  <c r="F11" i="1"/>
  <c r="F10" i="1"/>
  <c r="F9" i="1"/>
  <c r="F8" i="1"/>
  <c r="E17" i="1"/>
  <c r="E16" i="1"/>
  <c r="E15" i="1"/>
  <c r="E14" i="1"/>
  <c r="E13" i="1"/>
  <c r="E12" i="1"/>
  <c r="E11" i="1"/>
  <c r="E10" i="1"/>
  <c r="E9" i="1"/>
  <c r="E8" i="1"/>
  <c r="E7" i="1"/>
  <c r="C17" i="1"/>
  <c r="C16" i="1"/>
  <c r="C15" i="1"/>
  <c r="C14" i="1"/>
  <c r="C13" i="1"/>
  <c r="C12" i="1"/>
  <c r="C11" i="1"/>
  <c r="C10" i="1"/>
  <c r="C7" i="1"/>
</calcChain>
</file>

<file path=xl/sharedStrings.xml><?xml version="1.0" encoding="utf-8"?>
<sst xmlns="http://schemas.openxmlformats.org/spreadsheetml/2006/main" count="230" uniqueCount="155">
  <si>
    <t>Employee:</t>
  </si>
  <si>
    <t>Phase Code</t>
  </si>
  <si>
    <t>Cost Code</t>
  </si>
  <si>
    <t>Wire Verification</t>
  </si>
  <si>
    <t xml:space="preserve">Breakers </t>
  </si>
  <si>
    <t>CTs</t>
  </si>
  <si>
    <t xml:space="preserve">PTs </t>
  </si>
  <si>
    <t>CCVT Testing</t>
  </si>
  <si>
    <t>Surge Arrestors</t>
  </si>
  <si>
    <t>Reactors</t>
  </si>
  <si>
    <t>Protection/Metering</t>
  </si>
  <si>
    <t>Bus Systems</t>
  </si>
  <si>
    <t>Transformers</t>
  </si>
  <si>
    <t>Station Grounding</t>
  </si>
  <si>
    <t>Station Batteries/Chargers</t>
  </si>
  <si>
    <t>LV Panels</t>
  </si>
  <si>
    <t>Functional Testing</t>
  </si>
  <si>
    <t>Pre-Paralelling Checkout</t>
  </si>
  <si>
    <t>Protection/SCADA/Comm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</si>
  <si>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</si>
  <si>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</si>
  <si>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</si>
  <si>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</si>
  <si>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</si>
  <si>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</si>
  <si>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</si>
  <si>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</si>
  <si>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</si>
  <si>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</si>
  <si>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</si>
  <si>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</si>
  <si>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</si>
  <si>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</si>
  <si>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</si>
  <si>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</si>
  <si>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</si>
  <si>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</si>
  <si>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</si>
  <si>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</si>
  <si>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WEEKLY TIME SHEET</t>
  </si>
  <si>
    <t>Project Management</t>
  </si>
  <si>
    <t>Administrative Support</t>
  </si>
  <si>
    <t>Engineering/Design</t>
  </si>
  <si>
    <t>System Studies</t>
  </si>
  <si>
    <t>021</t>
  </si>
  <si>
    <t>Travel</t>
  </si>
  <si>
    <t>022</t>
  </si>
  <si>
    <t>Vacation</t>
  </si>
  <si>
    <t>Sick Time</t>
  </si>
  <si>
    <t>Holiday</t>
  </si>
  <si>
    <t>023</t>
  </si>
  <si>
    <t>024</t>
  </si>
  <si>
    <t>CAD/Drafting</t>
  </si>
  <si>
    <t>Training</t>
  </si>
  <si>
    <t>Documentation</t>
  </si>
  <si>
    <t>Pre-con/Project Eval Services</t>
  </si>
  <si>
    <t>Start-up/Inspection Support</t>
  </si>
  <si>
    <t>Switches/ATS/Disconnects</t>
  </si>
  <si>
    <t>Mob/Demob</t>
  </si>
  <si>
    <t>Misc Installation/Maintenance</t>
  </si>
  <si>
    <t>Non-Billable Shop Time</t>
  </si>
  <si>
    <t>Aux Systems (Fire, Security)</t>
  </si>
  <si>
    <t>Spec/Test/Funct Development</t>
  </si>
  <si>
    <t>025</t>
  </si>
  <si>
    <t>Added/Out of Scope Work</t>
  </si>
  <si>
    <t>Primary Current Injection Testing</t>
  </si>
  <si>
    <t>026</t>
  </si>
  <si>
    <t>Office Time</t>
  </si>
  <si>
    <t>Field Time</t>
  </si>
  <si>
    <t>Estimating</t>
  </si>
  <si>
    <t>IT</t>
  </si>
  <si>
    <t>Adminstrative/Project Support</t>
  </si>
  <si>
    <t>Business Development</t>
  </si>
  <si>
    <t>AR/AP</t>
  </si>
  <si>
    <t>Management</t>
  </si>
  <si>
    <t>General Overhead</t>
  </si>
  <si>
    <t>USAF</t>
  </si>
  <si>
    <t xml:space="preserve">Field Time </t>
  </si>
  <si>
    <t xml:space="preserve">Office time </t>
  </si>
  <si>
    <t>Project Number</t>
  </si>
  <si>
    <t>Project Description</t>
  </si>
  <si>
    <t>Client</t>
  </si>
  <si>
    <t>12001-6</t>
  </si>
  <si>
    <t>12001-7</t>
  </si>
  <si>
    <t>Task Order #7 - BSOG-01</t>
  </si>
  <si>
    <t>12001-8</t>
  </si>
  <si>
    <t>Task Order #8 - Sutter/EBC4</t>
  </si>
  <si>
    <t>12001-9</t>
  </si>
  <si>
    <t>Task Order #9 - SBPP (DFD)</t>
  </si>
  <si>
    <t>15001-1</t>
  </si>
  <si>
    <t>Task Order #1 SSS and NRS Phase 2</t>
  </si>
  <si>
    <t>15001-2</t>
  </si>
  <si>
    <t>Task Order #2 NRS Phase 3</t>
  </si>
  <si>
    <t>15001-3</t>
  </si>
  <si>
    <t>15001-4</t>
  </si>
  <si>
    <t>15001-5</t>
  </si>
  <si>
    <t>15001-6</t>
  </si>
  <si>
    <t>15001-7</t>
  </si>
  <si>
    <t>Task Order #7 NRS</t>
  </si>
  <si>
    <t>15001-8</t>
  </si>
  <si>
    <t>15001-9</t>
  </si>
  <si>
    <t>Substation Testing Services and Support</t>
  </si>
  <si>
    <t>MK 900</t>
  </si>
  <si>
    <t>PPG</t>
  </si>
  <si>
    <t>Liberty Packing</t>
  </si>
  <si>
    <t>Merced</t>
  </si>
  <si>
    <t>Modesto</t>
  </si>
  <si>
    <t>Enerparc</t>
  </si>
  <si>
    <t>Amazon</t>
  </si>
  <si>
    <t>Tone Base Transfer Trip</t>
  </si>
  <si>
    <t>na</t>
  </si>
  <si>
    <t>Job</t>
  </si>
  <si>
    <t>-</t>
  </si>
  <si>
    <t>Task Description</t>
  </si>
  <si>
    <t>Phase
Code</t>
  </si>
  <si>
    <t>Cost
Code</t>
  </si>
  <si>
    <t xml:space="preserve">Task Order #1 - </t>
  </si>
  <si>
    <t xml:space="preserve">Task Order #6 - 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</si>
  <si>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</si>
  <si>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</si>
  <si>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</si>
  <si>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</si>
  <si>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</si>
  <si>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</si>
  <si>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</si>
  <si>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</si>
  <si>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</si>
  <si>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</si>
  <si>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</si>
  <si>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</si>
  <si>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</si>
  <si>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</si>
  <si>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</si>
  <si>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Intake</t>
  </si>
  <si>
    <t>V2 Data Center</t>
  </si>
  <si>
    <t>Project #</t>
  </si>
  <si>
    <t>Task Order #4 Sierra Substation</t>
  </si>
  <si>
    <t>Task Order #3 Echo Substation</t>
  </si>
  <si>
    <t>Task Order #5 Holland Substation</t>
  </si>
  <si>
    <t>Task Order #6 Beta Substation</t>
  </si>
  <si>
    <t>Task Order #8 Alpha Substation</t>
  </si>
  <si>
    <t>USBR Tango</t>
  </si>
  <si>
    <t>Sierra</t>
  </si>
  <si>
    <t>Hetch-Hetchy/Mike Power House</t>
  </si>
  <si>
    <t>Hetch-Hetchy/Whiskey Substation</t>
  </si>
  <si>
    <t>Santa Romeo Compressor</t>
  </si>
  <si>
    <t>Kilo</t>
  </si>
  <si>
    <t>Holmes</t>
  </si>
  <si>
    <t>Kilo Mike Beta</t>
  </si>
  <si>
    <t>Alameda Point November Bravo</t>
  </si>
  <si>
    <t>Field time search</t>
  </si>
  <si>
    <t>Helper</t>
  </si>
  <si>
    <t>YOU CAN PRESS F7 AT PINK COLUMN, AFTER F6, TO OPEN SEARCH</t>
  </si>
  <si>
    <t>reactor</t>
  </si>
  <si>
    <t>PRESS F6, AT ANY ROW IN GREEN, PINK &amp; BEIGE ROW COLUMN. DOUBLE CLICK THE LIST YOU WANT TO CHOOSE, TO INPUT IT IN THE DESIRED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</si>
</sst>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2"/>
      <color rgb="FF3F3F76"/>
      <name val="Georgi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Georgia"/>
      <family val="1"/>
    </font>
    <font>
      <sz val="12"/>
      <color theme="1"/>
      <name val="Arial"/>
      <family val="2"/>
    </font>
    <font>
      <sz val="12"/>
      <color theme="1"/>
      <name val="Georgia"/>
      <family val="1"/>
    </font>
    <font>
      <b/>
      <sz val="12"/>
      <color theme="1"/>
      <name val="Georgia"/>
      <family val="1"/>
    </font>
    <font>
      <sz val="16"/>
      <color theme="1"/>
      <name val="Georgia"/>
      <family val="1"/>
    </font>
    <font>
      <sz val="16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Georgia"/>
      <family val="1"/>
    </font>
    <font>
      <sz val="12"/>
      <color theme="1"/>
      <name val="Arial Narrow"/>
      <family val="2"/>
    </font>
    <font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3" applyNumberFormat="0" applyAlignment="0" applyProtection="0"/>
  </cellStyleXfs>
  <cellXfs count="64">
    <xf numFmtId="0" fontId="0" fillId="0" borderId="0" xfId="0"/>
    <xf numFmtId="0" fontId="0" fillId="0" borderId="0" xfId="0" applyFont="1"/>
    <xf numFmtId="0" fontId="2" fillId="4" borderId="7" xfId="0" applyFont="1" applyFill="1" applyBorder="1"/>
    <xf numFmtId="0" fontId="2" fillId="4" borderId="14" xfId="0" applyFont="1" applyFill="1" applyBorder="1"/>
    <xf numFmtId="0" fontId="2" fillId="4" borderId="15" xfId="0" applyFont="1" applyFill="1" applyBorder="1"/>
    <xf numFmtId="0" fontId="0" fillId="0" borderId="0" xfId="0" quotePrefix="1" applyFont="1" applyBorder="1" applyAlignment="1"/>
    <xf numFmtId="0" fontId="0" fillId="0" borderId="16" xfId="0" quotePrefix="1" applyFont="1" applyBorder="1" applyAlignment="1"/>
    <xf numFmtId="0" fontId="4" fillId="0" borderId="0" xfId="0" applyFont="1" applyFill="1" applyBorder="1" applyAlignment="1" applyProtection="1">
      <protection locked="0"/>
    </xf>
    <xf numFmtId="0" fontId="4" fillId="0" borderId="0" xfId="0" quotePrefix="1" applyNumberFormat="1" applyFont="1" applyFill="1" applyBorder="1" applyAlignment="1" applyProtection="1">
      <alignment horizontal="left"/>
      <protection locked="0"/>
    </xf>
    <xf numFmtId="37" fontId="0" fillId="0" borderId="16" xfId="1" applyNumberFormat="1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quotePrefix="1" applyNumberFormat="1" applyFont="1" applyFill="1" applyBorder="1" applyAlignment="1" applyProtection="1">
      <alignment horizontal="center" vertical="center"/>
    </xf>
    <xf numFmtId="0" fontId="0" fillId="0" borderId="0" xfId="0" applyFont="1" applyBorder="1"/>
    <xf numFmtId="0" fontId="0" fillId="8" borderId="0" xfId="0" applyFont="1" applyFill="1"/>
    <xf numFmtId="0" fontId="3" fillId="0" borderId="0" xfId="0" applyFont="1"/>
    <xf numFmtId="0" fontId="5" fillId="0" borderId="0" xfId="0" applyFont="1" applyBorder="1" applyAlignment="1" applyProtection="1">
      <alignment horizontal="center"/>
    </xf>
    <xf numFmtId="0" fontId="6" fillId="0" borderId="0" xfId="0" applyFont="1" applyAlignment="1"/>
    <xf numFmtId="0" fontId="7" fillId="0" borderId="0" xfId="0" applyFont="1" applyBorder="1" applyAlignment="1" applyProtection="1">
      <alignment horizontal="left"/>
    </xf>
    <xf numFmtId="0" fontId="9" fillId="0" borderId="0" xfId="0" applyFont="1" applyBorder="1" applyAlignment="1" applyProtection="1">
      <alignment horizontal="left"/>
    </xf>
    <xf numFmtId="0" fontId="10" fillId="0" borderId="0" xfId="0" applyFont="1" applyAlignment="1"/>
    <xf numFmtId="0" fontId="7" fillId="0" borderId="0" xfId="0" applyFont="1" applyBorder="1" applyAlignment="1" applyProtection="1"/>
    <xf numFmtId="0" fontId="11" fillId="0" borderId="17" xfId="0" applyFont="1" applyBorder="1" applyAlignment="1" applyProtection="1">
      <alignment vertical="center"/>
    </xf>
    <xf numFmtId="0" fontId="11" fillId="0" borderId="4" xfId="0" applyFont="1" applyBorder="1" applyAlignment="1" applyProtection="1">
      <alignment vertical="center"/>
    </xf>
    <xf numFmtId="0" fontId="11" fillId="0" borderId="17" xfId="0" applyFont="1" applyBorder="1" applyAlignment="1" applyProtection="1">
      <alignment vertical="center" wrapText="1"/>
    </xf>
    <xf numFmtId="0" fontId="11" fillId="0" borderId="8" xfId="0" applyFont="1" applyBorder="1" applyAlignment="1" applyProtection="1">
      <alignment horizontal="center" vertical="center"/>
    </xf>
    <xf numFmtId="0" fontId="11" fillId="0" borderId="9" xfId="0" applyFont="1" applyBorder="1" applyAlignment="1" applyProtection="1">
      <alignment horizontal="center" vertical="center"/>
    </xf>
    <xf numFmtId="0" fontId="11" fillId="0" borderId="24" xfId="0" applyFont="1" applyBorder="1" applyAlignment="1" applyProtection="1">
      <alignment horizontal="center" vertical="center" wrapText="1"/>
    </xf>
    <xf numFmtId="0" fontId="11" fillId="0" borderId="12" xfId="0" applyFont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2" fillId="5" borderId="1" xfId="0" applyFont="1" applyFill="1" applyBorder="1" applyAlignment="1">
      <alignment vertical="center"/>
    </xf>
    <xf numFmtId="0" fontId="12" fillId="3" borderId="22" xfId="0" applyFont="1" applyFill="1" applyBorder="1" applyAlignment="1">
      <alignment horizontal="center" vertical="center"/>
    </xf>
    <xf numFmtId="37" fontId="12" fillId="6" borderId="5" xfId="1" applyNumberFormat="1" applyFont="1" applyFill="1" applyBorder="1" applyAlignment="1">
      <alignment vertical="center"/>
    </xf>
    <xf numFmtId="0" fontId="12" fillId="3" borderId="6" xfId="0" applyNumberFormat="1" applyFont="1" applyFill="1" applyBorder="1" applyAlignment="1" applyProtection="1">
      <alignment horizontal="center" vertical="center"/>
    </xf>
    <xf numFmtId="0" fontId="12" fillId="3" borderId="11" xfId="0" applyNumberFormat="1" applyFont="1" applyFill="1" applyBorder="1" applyAlignment="1" applyProtection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37" fontId="12" fillId="6" borderId="2" xfId="1" applyNumberFormat="1" applyFont="1" applyFill="1" applyBorder="1" applyAlignment="1">
      <alignment vertical="center"/>
    </xf>
    <xf numFmtId="0" fontId="12" fillId="3" borderId="1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/>
    <xf numFmtId="37" fontId="12" fillId="6" borderId="2" xfId="1" applyNumberFormat="1" applyFont="1" applyFill="1" applyBorder="1" applyAlignment="1">
      <alignment vertical="center" wrapText="1"/>
    </xf>
    <xf numFmtId="0" fontId="12" fillId="3" borderId="10" xfId="0" applyFont="1" applyFill="1" applyBorder="1" applyAlignment="1">
      <alignment vertical="center"/>
    </xf>
    <xf numFmtId="0" fontId="12" fillId="3" borderId="23" xfId="0" applyFont="1" applyFill="1" applyBorder="1" applyAlignment="1">
      <alignment vertical="center"/>
    </xf>
    <xf numFmtId="37" fontId="12" fillId="6" borderId="19" xfId="1" applyNumberFormat="1" applyFont="1" applyFill="1" applyBorder="1" applyAlignment="1">
      <alignment vertical="center"/>
    </xf>
    <xf numFmtId="0" fontId="12" fillId="3" borderId="20" xfId="0" applyNumberFormat="1" applyFont="1" applyFill="1" applyBorder="1" applyAlignment="1" applyProtection="1">
      <alignment horizontal="center" vertical="center"/>
    </xf>
    <xf numFmtId="0" fontId="12" fillId="3" borderId="21" xfId="0" applyNumberFormat="1" applyFont="1" applyFill="1" applyBorder="1" applyAlignment="1" applyProtection="1">
      <alignment horizontal="center" vertical="center"/>
    </xf>
    <xf numFmtId="37" fontId="11" fillId="0" borderId="8" xfId="1" applyNumberFormat="1" applyFont="1" applyFill="1" applyBorder="1" applyAlignment="1">
      <alignment horizontal="center" vertical="center"/>
    </xf>
    <xf numFmtId="37" fontId="11" fillId="0" borderId="9" xfId="1" applyNumberFormat="1" applyFont="1" applyFill="1" applyBorder="1" applyAlignment="1">
      <alignment horizontal="center" vertical="center"/>
    </xf>
    <xf numFmtId="37" fontId="11" fillId="0" borderId="24" xfId="1" applyNumberFormat="1" applyFont="1" applyFill="1" applyBorder="1" applyAlignment="1">
      <alignment horizontal="center" vertical="center"/>
    </xf>
    <xf numFmtId="37" fontId="11" fillId="0" borderId="12" xfId="1" applyNumberFormat="1" applyFont="1" applyFill="1" applyBorder="1" applyAlignment="1">
      <alignment horizontal="center" vertical="center"/>
    </xf>
    <xf numFmtId="37" fontId="12" fillId="7" borderId="25" xfId="1" applyNumberFormat="1" applyFont="1" applyFill="1" applyBorder="1" applyAlignment="1">
      <alignment horizontal="center" vertical="center"/>
    </xf>
    <xf numFmtId="37" fontId="12" fillId="7" borderId="26" xfId="1" applyNumberFormat="1" applyFont="1" applyFill="1" applyBorder="1" applyAlignment="1">
      <alignment horizontal="center" vertical="center"/>
    </xf>
    <xf numFmtId="37" fontId="12" fillId="7" borderId="27" xfId="1" applyNumberFormat="1" applyFont="1" applyFill="1" applyBorder="1" applyAlignment="1">
      <alignment horizontal="center" vertical="center"/>
    </xf>
    <xf numFmtId="0" fontId="12" fillId="3" borderId="18" xfId="0" applyNumberFormat="1" applyFont="1" applyFill="1" applyBorder="1" applyAlignment="1" applyProtection="1">
      <alignment horizontal="center" vertical="center"/>
    </xf>
    <xf numFmtId="37" fontId="12" fillId="7" borderId="1" xfId="1" applyNumberFormat="1" applyFont="1" applyFill="1" applyBorder="1" applyAlignment="1">
      <alignment horizontal="center" vertical="center"/>
    </xf>
    <xf numFmtId="37" fontId="12" fillId="7" borderId="2" xfId="1" applyNumberFormat="1" applyFont="1" applyFill="1" applyBorder="1" applyAlignment="1">
      <alignment horizontal="center" vertical="center"/>
    </xf>
    <xf numFmtId="37" fontId="12" fillId="7" borderId="3" xfId="1" applyNumberFormat="1" applyFont="1" applyFill="1" applyBorder="1" applyAlignment="1">
      <alignment horizontal="center" vertical="center"/>
    </xf>
    <xf numFmtId="37" fontId="12" fillId="7" borderId="28" xfId="1" applyNumberFormat="1" applyFont="1" applyFill="1" applyBorder="1" applyAlignment="1">
      <alignment horizontal="center" vertical="center"/>
    </xf>
    <xf numFmtId="37" fontId="12" fillId="7" borderId="29" xfId="1" applyNumberFormat="1" applyFont="1" applyFill="1" applyBorder="1" applyAlignment="1">
      <alignment horizontal="center" vertical="center"/>
    </xf>
    <xf numFmtId="37" fontId="12" fillId="7" borderId="30" xfId="1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Border="1" applyAlignment="1" applyProtection="1"/>
    <xf numFmtId="0" fontId="14" fillId="0" borderId="0" xfId="0" applyFont="1" applyAlignment="1"/>
  </cellXfs>
  <cellStyles count="2">
    <cellStyle name="Input" xfId="1" builtinId="20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5" formatCode="#,##0_);\(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4:D38" totalsRowShown="0" headerRowDxfId="20" dataDxfId="18" headerRowBorderDxfId="19" tableBorderDxfId="17">
  <autoFilter ref="B4:D38"/>
  <tableColumns count="3">
    <tableColumn id="1" name="Project Description" dataDxfId="16"/>
    <tableColumn id="2" name="Project Number" dataDxfId="15"/>
    <tableColumn id="3" name="Client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F4:H31" totalsRowShown="0" headerRowDxfId="13" dataDxfId="11" headerRowBorderDxfId="12" tableBorderDxfId="10">
  <autoFilter ref="F4:H31"/>
  <tableColumns count="3">
    <tableColumn id="1" name="Field Time " dataDxfId="9" dataCellStyle="Input"/>
    <tableColumn id="2" name="Phase Code" dataDxfId="8"/>
    <tableColumn id="3" name="Cost Code" dataDxfId="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J4:L24" totalsRowShown="0" headerRowDxfId="6" dataDxfId="4" headerRowBorderDxfId="5" tableBorderDxfId="3">
  <autoFilter ref="J4:L24"/>
  <tableColumns count="3">
    <tableColumn id="1" name="Office time " dataDxfId="2" dataCellStyle="Input"/>
    <tableColumn id="2" name="Phase Code" dataDxfId="1"/>
    <tableColumn id="3" name="Cost Cod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28"/>
  <sheetViews>
    <sheetView showGridLines="0" tabSelected="1" zoomScaleNormal="100" workbookViewId="0">
      <selection activeCell="B4" sqref="B4"/>
    </sheetView>
  </sheetViews>
  <sheetFormatPr defaultColWidth="9.1796875" defaultRowHeight="15.5" x14ac:dyDescent="0.35"/>
  <cols>
    <col min="1" max="1" width="7" style="18" customWidth="1"/>
    <col min="2" max="2" width="55.26953125" style="18" customWidth="1"/>
    <col min="3" max="3" width="18.54296875" style="18" customWidth="1"/>
    <col min="4" max="4" width="41.453125" style="18" customWidth="1"/>
    <col min="5" max="5" width="10.54296875" style="60" bestFit="1" customWidth="1"/>
    <col min="6" max="6" width="9" style="61" bestFit="1" customWidth="1"/>
    <col min="7" max="16384" width="9.1796875" style="18"/>
  </cols>
  <sheetData>
    <row r="1" spans="2:6" ht="22.5" x14ac:dyDescent="0.45">
      <c r="B1" s="17" t="s">
        <v>39</v>
      </c>
      <c r="C1" s="17"/>
      <c r="D1" s="17"/>
      <c r="E1" s="17"/>
      <c r="F1" s="17"/>
    </row>
    <row r="2" spans="2:6" s="21" customFormat="1" ht="25.9" customHeight="1" x14ac:dyDescent="0.4">
      <c r="B2" s="19" t="s">
        <v>0</v>
      </c>
      <c r="C2" s="62"/>
      <c r="D2" s="20"/>
    </row>
    <row r="3" spans="2:6" s="21" customFormat="1" ht="25.9" customHeight="1" x14ac:dyDescent="0.4">
      <c r="B3" s="63" t="s">
        <v>154</v>
      </c>
      <c r="C3" s="22"/>
      <c r="D3" s="22"/>
    </row>
    <row r="4" spans="2:6" s="21" customFormat="1" ht="31" customHeight="1" thickBot="1" x14ac:dyDescent="0.45">
      <c r="B4" s="63" t="s">
        <v>152</v>
      </c>
    </row>
    <row r="5" spans="2:6" ht="28.5" thickBot="1" x14ac:dyDescent="0.4">
      <c r="B5" s="23" t="s">
        <v>111</v>
      </c>
      <c r="C5" s="24" t="s">
        <v>135</v>
      </c>
      <c r="D5" s="24" t="s">
        <v>113</v>
      </c>
      <c r="E5" s="25" t="s">
        <v>114</v>
      </c>
      <c r="F5" s="25" t="s">
        <v>115</v>
      </c>
    </row>
    <row r="6" spans="2:6" s="30" customFormat="1" ht="16" thickBot="1" x14ac:dyDescent="0.4">
      <c r="B6" s="26" t="s">
        <v>68</v>
      </c>
      <c r="C6" s="27"/>
      <c r="D6" s="27"/>
      <c r="E6" s="28"/>
      <c r="F6" s="29"/>
    </row>
    <row r="7" spans="2:6" x14ac:dyDescent="0.35">
      <c r="B7" s="31"/>
      <c r="C7" s="32" t="str">
        <f>IFERROR(VLOOKUP(B7,SourceData!$B$5:$D$37,2,FALSE),"")</f>
        <v/>
      </c>
      <c r="D7" s="33"/>
      <c r="E7" s="34" t="str">
        <f>IFERROR(VLOOKUP(D7,SourceData!$F$5:$H$30,2,FALSE),"")</f>
        <v/>
      </c>
      <c r="F7" s="35" t="str">
        <f>IFERROR(VLOOKUP(D7,SourceData!$F$5:$H$30,3,FALSE),"")</f>
        <v/>
      </c>
    </row>
    <row r="8" spans="2:6" s="39" customFormat="1" x14ac:dyDescent="0.35">
      <c r="B8" s="31"/>
      <c r="C8" s="36" t="str">
        <f>IFERROR(VLOOKUP(B8,SourceData!$B$5:$D$37,2,FALSE),"")</f>
        <v/>
      </c>
      <c r="D8" s="37"/>
      <c r="E8" s="38" t="str">
        <f>IFERROR(VLOOKUP(D8,SourceData!$F$5:$H$30,2,FALSE),"")</f>
        <v/>
      </c>
      <c r="F8" s="35" t="str">
        <f>IFERROR(VLOOKUP(D8,SourceData!$F$5:$H$30,3,FALSE),"")</f>
        <v/>
      </c>
    </row>
    <row r="9" spans="2:6" s="39" customFormat="1" x14ac:dyDescent="0.35">
      <c r="B9" s="31" t="s">
        <v>92</v>
      </c>
      <c r="C9" s="36" t="str">
        <f>IFERROR(VLOOKUP(B9,SourceData!$B$5:$D$37,2,FALSE),"")</f>
        <v>15001-2</v>
      </c>
      <c r="D9" s="37" t="s">
        <v>9</v>
      </c>
      <c r="E9" s="38">
        <f>IFERROR(VLOOKUP(D9,SourceData!$F$5:$H$30,2,FALSE),"")</f>
        <v>100</v>
      </c>
      <c r="F9" s="35" t="str">
        <f>IFERROR(VLOOKUP(D9,SourceData!$F$5:$H$30,3,FALSE),"")</f>
        <v>007</v>
      </c>
    </row>
    <row r="10" spans="2:6" s="39" customFormat="1" x14ac:dyDescent="0.35">
      <c r="B10" s="31" t="s">
        <v>92</v>
      </c>
      <c r="C10" s="36" t="str">
        <f>IFERROR(VLOOKUP(B10,SourceData!$B$5:$D$37,2,FALSE),"")</f>
        <v>15001-2</v>
      </c>
      <c r="D10" s="37" t="s">
        <v>9</v>
      </c>
      <c r="E10" s="38">
        <f>IFERROR(VLOOKUP(D10,SourceData!$F$5:$H$30,2,FALSE),"")</f>
        <v>100</v>
      </c>
      <c r="F10" s="35" t="str">
        <f>IFERROR(VLOOKUP(D10,SourceData!$F$5:$H$30,3,FALSE),"")</f>
        <v>007</v>
      </c>
    </row>
    <row r="11" spans="2:6" s="39" customFormat="1" x14ac:dyDescent="0.35">
      <c r="B11" s="31" t="s">
        <v>142</v>
      </c>
      <c r="C11" s="36">
        <f>IFERROR(VLOOKUP(B11,SourceData!$B$5:$D$37,2,FALSE),"")</f>
        <v>15003</v>
      </c>
      <c r="D11" s="40"/>
      <c r="E11" s="38" t="str">
        <f>IFERROR(VLOOKUP(D11,SourceData!$F$5:$H$30,2,FALSE),"")</f>
        <v/>
      </c>
      <c r="F11" s="35" t="str">
        <f>IFERROR(VLOOKUP(D11,SourceData!$F$5:$H$30,3,FALSE),"")</f>
        <v/>
      </c>
    </row>
    <row r="12" spans="2:6" s="39" customFormat="1" x14ac:dyDescent="0.35">
      <c r="B12" s="31" t="s">
        <v>139</v>
      </c>
      <c r="C12" s="41" t="str">
        <f>IFERROR(VLOOKUP(B12,SourceData!$B$5:$D$37,2,FALSE),"")</f>
        <v>15001-6</v>
      </c>
      <c r="D12" s="37" t="s">
        <v>5</v>
      </c>
      <c r="E12" s="38">
        <f>IFERROR(VLOOKUP(D12,SourceData!$F$5:$H$30,2,FALSE),"")</f>
        <v>100</v>
      </c>
      <c r="F12" s="35" t="str">
        <f>IFERROR(VLOOKUP(D12,SourceData!$F$5:$H$30,3,FALSE),"")</f>
        <v>003</v>
      </c>
    </row>
    <row r="13" spans="2:6" s="39" customFormat="1" x14ac:dyDescent="0.35">
      <c r="B13" s="31" t="s">
        <v>136</v>
      </c>
      <c r="C13" s="41" t="str">
        <f>IFERROR(VLOOKUP(B13,SourceData!$B$5:$D$37,2,FALSE),"")</f>
        <v>15001-4</v>
      </c>
      <c r="D13" s="37" t="s">
        <v>45</v>
      </c>
      <c r="E13" s="38">
        <f>IFERROR(VLOOKUP(D13,SourceData!$F$5:$H$30,2,FALSE),"")</f>
        <v>100</v>
      </c>
      <c r="F13" s="35" t="str">
        <f>IFERROR(VLOOKUP(D13,SourceData!$F$5:$H$30,3,FALSE),"")</f>
        <v>022</v>
      </c>
    </row>
    <row r="14" spans="2:6" s="39" customFormat="1" x14ac:dyDescent="0.35">
      <c r="B14" s="31"/>
      <c r="C14" s="41" t="str">
        <f>IFERROR(VLOOKUP(B14,SourceData!$B$5:$D$37,2,FALSE),"")</f>
        <v/>
      </c>
      <c r="D14" s="37" t="s">
        <v>4</v>
      </c>
      <c r="E14" s="38">
        <f>IFERROR(VLOOKUP(D14,SourceData!$F$5:$H$30,2,FALSE),"")</f>
        <v>100</v>
      </c>
      <c r="F14" s="35" t="str">
        <f>IFERROR(VLOOKUP(D14,SourceData!$F$5:$H$30,3,FALSE),"")</f>
        <v>002</v>
      </c>
    </row>
    <row r="15" spans="2:6" s="39" customFormat="1" x14ac:dyDescent="0.35">
      <c r="B15" s="31"/>
      <c r="C15" s="41" t="str">
        <f>IFERROR(VLOOKUP(B15,SourceData!$B$5:$D$37,2,FALSE),"")</f>
        <v/>
      </c>
      <c r="D15" s="37" t="s">
        <v>4</v>
      </c>
      <c r="E15" s="38">
        <f>IFERROR(VLOOKUP(D15,SourceData!$F$5:$H$30,2,FALSE),"")</f>
        <v>100</v>
      </c>
      <c r="F15" s="35" t="str">
        <f>IFERROR(VLOOKUP(D15,SourceData!$F$5:$H$30,3,FALSE),"")</f>
        <v>002</v>
      </c>
    </row>
    <row r="16" spans="2:6" s="39" customFormat="1" x14ac:dyDescent="0.35">
      <c r="B16" s="31"/>
      <c r="C16" s="41" t="str">
        <f>IFERROR(VLOOKUP(B16,SourceData!$B$5:$D$37,2,FALSE),"")</f>
        <v/>
      </c>
      <c r="D16" s="37"/>
      <c r="E16" s="38" t="str">
        <f>IFERROR(VLOOKUP(D16,SourceData!$F$5:$H$30,2,FALSE),"")</f>
        <v/>
      </c>
      <c r="F16" s="35" t="str">
        <f>IFERROR(VLOOKUP(D16,SourceData!$F$5:$H$30,3,FALSE),"")</f>
        <v/>
      </c>
    </row>
    <row r="17" spans="2:6" s="39" customFormat="1" ht="16" thickBot="1" x14ac:dyDescent="0.4">
      <c r="B17" s="31"/>
      <c r="C17" s="42" t="str">
        <f>IFERROR(VLOOKUP(B17,SourceData!$B$5:$D$37,2,FALSE),"")</f>
        <v/>
      </c>
      <c r="D17" s="43"/>
      <c r="E17" s="44" t="str">
        <f>IFERROR(VLOOKUP(D17,SourceData!$F$5:$H$30,2,FALSE),"")</f>
        <v/>
      </c>
      <c r="F17" s="45" t="str">
        <f>IFERROR(VLOOKUP(D17,SourceData!$F$5:$H$30,3,FALSE),"")</f>
        <v/>
      </c>
    </row>
    <row r="18" spans="2:6" s="39" customFormat="1" ht="16" thickBot="1" x14ac:dyDescent="0.4">
      <c r="B18" s="46" t="s">
        <v>67</v>
      </c>
      <c r="C18" s="47"/>
      <c r="D18" s="47"/>
      <c r="E18" s="48"/>
      <c r="F18" s="49"/>
    </row>
    <row r="19" spans="2:6" s="39" customFormat="1" x14ac:dyDescent="0.35">
      <c r="B19" s="50"/>
      <c r="C19" s="51"/>
      <c r="D19" s="52"/>
      <c r="E19" s="53" t="str">
        <f>IFERROR(VLOOKUP(B19,SourceData!$J$5:$L$23,2,FALSE),"")</f>
        <v/>
      </c>
      <c r="F19" s="53" t="str">
        <f>IFERROR(VLOOKUP(B19,SourceData!$J$5:$L$23,3,FALSE),"")</f>
        <v/>
      </c>
    </row>
    <row r="20" spans="2:6" s="39" customFormat="1" x14ac:dyDescent="0.35">
      <c r="B20" s="54"/>
      <c r="C20" s="55"/>
      <c r="D20" s="56"/>
      <c r="E20" s="53" t="str">
        <f>IFERROR(VLOOKUP(B20,SourceData!$J$5:$L$23,2,FALSE),"")</f>
        <v/>
      </c>
      <c r="F20" s="53" t="str">
        <f>IFERROR(VLOOKUP(B20,SourceData!$J$5:$L$23,3,FALSE),"")</f>
        <v/>
      </c>
    </row>
    <row r="21" spans="2:6" s="39" customFormat="1" x14ac:dyDescent="0.35">
      <c r="B21" s="54"/>
      <c r="C21" s="55"/>
      <c r="D21" s="56"/>
      <c r="E21" s="53" t="str">
        <f>IFERROR(VLOOKUP(B21,SourceData!$J$5:$L$23,2,FALSE),"")</f>
        <v/>
      </c>
      <c r="F21" s="53" t="str">
        <f>IFERROR(VLOOKUP(B21,SourceData!$J$5:$L$23,3,FALSE),"")</f>
        <v/>
      </c>
    </row>
    <row r="22" spans="2:6" s="39" customFormat="1" x14ac:dyDescent="0.35">
      <c r="B22" s="54" t="s">
        <v>43</v>
      </c>
      <c r="C22" s="55"/>
      <c r="D22" s="56"/>
      <c r="E22" s="53">
        <f>IFERROR(VLOOKUP(B22,SourceData!$J$5:$L$23,2,FALSE),"")</f>
        <v>200</v>
      </c>
      <c r="F22" s="53" t="str">
        <f>IFERROR(VLOOKUP(B22,SourceData!$J$5:$L$23,3,FALSE),"")</f>
        <v>005</v>
      </c>
    </row>
    <row r="23" spans="2:6" s="39" customFormat="1" x14ac:dyDescent="0.35">
      <c r="B23" s="54"/>
      <c r="C23" s="55"/>
      <c r="D23" s="56"/>
      <c r="E23" s="53" t="str">
        <f>IFERROR(VLOOKUP(B23,SourceData!$J$5:$L$23,2,FALSE),"")</f>
        <v/>
      </c>
      <c r="F23" s="53" t="str">
        <f>IFERROR(VLOOKUP(B23,SourceData!$J$5:$L$23,3,FALSE),"")</f>
        <v/>
      </c>
    </row>
    <row r="24" spans="2:6" s="39" customFormat="1" x14ac:dyDescent="0.35">
      <c r="B24" s="54"/>
      <c r="C24" s="55"/>
      <c r="D24" s="56"/>
      <c r="E24" s="53" t="str">
        <f>IFERROR(VLOOKUP(B24,SourceData!$J$5:$L$23,2,FALSE),"")</f>
        <v/>
      </c>
      <c r="F24" s="53" t="str">
        <f>IFERROR(VLOOKUP(B24,SourceData!$J$5:$L$23,3,FALSE),"")</f>
        <v/>
      </c>
    </row>
    <row r="25" spans="2:6" s="39" customFormat="1" x14ac:dyDescent="0.35">
      <c r="B25" s="54"/>
      <c r="C25" s="55"/>
      <c r="D25" s="56"/>
      <c r="E25" s="53" t="str">
        <f>IFERROR(VLOOKUP(B25,SourceData!$J$5:$L$23,2,FALSE),"")</f>
        <v/>
      </c>
      <c r="F25" s="53" t="str">
        <f>IFERROR(VLOOKUP(B25,SourceData!$J$5:$L$23,3,FALSE),"")</f>
        <v/>
      </c>
    </row>
    <row r="26" spans="2:6" s="39" customFormat="1" x14ac:dyDescent="0.35">
      <c r="B26" s="54"/>
      <c r="C26" s="55"/>
      <c r="D26" s="56"/>
      <c r="E26" s="53" t="str">
        <f>IFERROR(VLOOKUP(B26,SourceData!$J$5:$L$23,2,FALSE),"")</f>
        <v/>
      </c>
      <c r="F26" s="53" t="str">
        <f>IFERROR(VLOOKUP(B26,SourceData!$J$5:$L$23,3,FALSE),"")</f>
        <v/>
      </c>
    </row>
    <row r="27" spans="2:6" s="39" customFormat="1" x14ac:dyDescent="0.35">
      <c r="B27" s="54"/>
      <c r="C27" s="55"/>
      <c r="D27" s="56"/>
      <c r="E27" s="53" t="str">
        <f>IFERROR(VLOOKUP(B27,SourceData!$J$5:$L$23,2,FALSE),"")</f>
        <v/>
      </c>
      <c r="F27" s="53" t="str">
        <f>IFERROR(VLOOKUP(B27,SourceData!$J$5:$L$23,3,FALSE),"")</f>
        <v/>
      </c>
    </row>
    <row r="28" spans="2:6" s="39" customFormat="1" ht="16" thickBot="1" x14ac:dyDescent="0.4">
      <c r="B28" s="57"/>
      <c r="C28" s="58"/>
      <c r="D28" s="59"/>
      <c r="E28" s="53" t="str">
        <f>IFERROR(VLOOKUP(B28,SourceData!$J$5:$L$23,2,FALSE),"")</f>
        <v/>
      </c>
      <c r="F28" s="53" t="str">
        <f>IFERROR(VLOOKUP(B28,SourceData!$J$5:$L$23,3,FALSE),"")</f>
        <v/>
      </c>
    </row>
  </sheetData>
  <mergeCells count="15">
    <mergeCell ref="B1:F1"/>
    <mergeCell ref="B6:D6"/>
    <mergeCell ref="E6:F6"/>
    <mergeCell ref="B18:D18"/>
    <mergeCell ref="E18:F18"/>
    <mergeCell ref="B28:D28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</mergeCells>
  <pageMargins left="0.25" right="0.25" top="0.25" bottom="0.25" header="0.3" footer="0.3"/>
  <pageSetup paperSize="3" scale="44" fitToWidth="0" orientation="landscape" r:id="rId1"/>
  <rowBreaks count="1" manualBreakCount="1">
    <brk id="17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W38"/>
  <sheetViews>
    <sheetView zoomScaleNormal="100" workbookViewId="0">
      <selection activeCell="C12" sqref="C12"/>
    </sheetView>
  </sheetViews>
  <sheetFormatPr defaultColWidth="9.1796875" defaultRowHeight="14.5" x14ac:dyDescent="0.35"/>
  <cols>
    <col min="1" max="1" width="9.1796875" style="1"/>
    <col min="2" max="2" width="37" style="1" bestFit="1" customWidth="1"/>
    <col min="3" max="3" width="17.453125" style="1" bestFit="1" customWidth="1"/>
    <col min="4" max="4" width="8.54296875" style="1" bestFit="1" customWidth="1"/>
    <col min="5" max="5" width="3.54296875" style="1" customWidth="1"/>
    <col min="6" max="6" width="27.7265625" style="1" customWidth="1"/>
    <col min="7" max="7" width="16.1796875" style="1" customWidth="1"/>
    <col min="8" max="8" width="12.1796875" style="1" bestFit="1" customWidth="1"/>
    <col min="9" max="9" width="2.7265625" style="1" customWidth="1"/>
    <col min="10" max="10" width="28.7265625" style="1" bestFit="1" customWidth="1"/>
    <col min="11" max="11" width="13.54296875" style="1" bestFit="1" customWidth="1"/>
    <col min="12" max="12" width="12.1796875" style="1" bestFit="1" customWidth="1"/>
    <col min="13" max="14" width="9.1796875" style="1"/>
    <col min="15" max="15" width="18.453125" style="1" customWidth="1"/>
    <col min="16" max="16" width="15.26953125" style="1" customWidth="1"/>
    <col min="17" max="17" width="9.54296875" style="1" customWidth="1"/>
    <col min="18" max="16384" width="9.1796875" style="1"/>
  </cols>
  <sheetData>
    <row r="2" spans="2:23" x14ac:dyDescent="0.35">
      <c r="O2" s="1" t="s">
        <v>150</v>
      </c>
      <c r="P2" s="15" t="s">
        <v>153</v>
      </c>
    </row>
    <row r="4" spans="2:23" ht="15" thickBot="1" x14ac:dyDescent="0.4">
      <c r="B4" s="2" t="s">
        <v>80</v>
      </c>
      <c r="C4" s="3" t="s">
        <v>79</v>
      </c>
      <c r="D4" s="2" t="s">
        <v>81</v>
      </c>
      <c r="F4" s="4" t="s">
        <v>77</v>
      </c>
      <c r="G4" s="4" t="s">
        <v>1</v>
      </c>
      <c r="H4" s="2" t="s">
        <v>2</v>
      </c>
      <c r="J4" s="4" t="s">
        <v>78</v>
      </c>
      <c r="K4" s="4" t="s">
        <v>1</v>
      </c>
      <c r="L4" s="2" t="s">
        <v>2</v>
      </c>
      <c r="O4" s="16" t="s">
        <v>80</v>
      </c>
      <c r="P4" s="16" t="s">
        <v>79</v>
      </c>
      <c r="Q4" s="16" t="s">
        <v>81</v>
      </c>
      <c r="T4" s="1" t="s">
        <v>151</v>
      </c>
      <c r="U4" s="1" t="s">
        <v>80</v>
      </c>
      <c r="V4" s="1" t="s">
        <v>79</v>
      </c>
      <c r="W4" s="1" t="s">
        <v>81</v>
      </c>
    </row>
    <row r="5" spans="2:23" x14ac:dyDescent="0.35">
      <c r="B5" s="5" t="s">
        <v>112</v>
      </c>
      <c r="C5" s="5" t="s">
        <v>112</v>
      </c>
      <c r="D5" s="5" t="s">
        <v>112</v>
      </c>
      <c r="F5" s="6" t="s">
        <v>112</v>
      </c>
      <c r="G5" s="5" t="s">
        <v>112</v>
      </c>
      <c r="H5" s="5" t="s">
        <v>112</v>
      </c>
      <c r="J5" s="6" t="s">
        <v>112</v>
      </c>
      <c r="K5" s="5" t="s">
        <v>112</v>
      </c>
      <c r="L5" s="5" t="s">
        <v>112</v>
      </c>
      <c r="O5" s="1" t="str">
        <f>IFERROR(VLOOKUP(ROWS(O$5:O5),$S$5:$W$31,3,FALSE),"")</f>
        <v>Reactors</v>
      </c>
      <c r="P5" s="1">
        <f>IFERROR(VLOOKUP(ROWS(P$5:P5),$S$5:$W$31,4,FALSE),"")</f>
        <v>100</v>
      </c>
      <c r="Q5" s="1" t="str">
        <f>IFERROR(VLOOKUP(ROWS(Q$5:Q5),$S$5:$W$31,5,FALSE),"")</f>
        <v>007</v>
      </c>
      <c r="S5" s="1">
        <f>IF(ISNUMBER(SEARCH($P$2,T5)),MAX(S$4:S4)+1,0)</f>
        <v>0</v>
      </c>
      <c r="T5" s="1" t="str">
        <f>U5&amp;V5&amp;W5</f>
        <v>---</v>
      </c>
      <c r="U5" s="1" t="str">
        <f>Table2[[#This Row],[Field Time ]]</f>
        <v>-</v>
      </c>
      <c r="V5" s="1" t="str">
        <f>Table2[[#This Row],[Phase Code]]</f>
        <v>-</v>
      </c>
      <c r="W5" s="1" t="str">
        <f>Table2[[#This Row],[Cost Code]]</f>
        <v>-</v>
      </c>
    </row>
    <row r="6" spans="2:23" x14ac:dyDescent="0.35">
      <c r="B6" s="7" t="s">
        <v>116</v>
      </c>
      <c r="C6" s="8">
        <v>12001</v>
      </c>
      <c r="D6" s="7" t="s">
        <v>118</v>
      </c>
      <c r="F6" s="9" t="s">
        <v>3</v>
      </c>
      <c r="G6" s="10">
        <v>100</v>
      </c>
      <c r="H6" s="10" t="s">
        <v>19</v>
      </c>
      <c r="J6" s="9" t="s">
        <v>40</v>
      </c>
      <c r="K6" s="11">
        <v>200</v>
      </c>
      <c r="L6" s="10" t="s">
        <v>19</v>
      </c>
      <c r="O6" s="1" t="str">
        <f>IFERROR(VLOOKUP(ROWS(O$5:O6),$S$5:$W$31,3,FALSE),"")</f>
        <v/>
      </c>
      <c r="P6" s="1" t="str">
        <f>IFERROR(VLOOKUP(ROWS(P$5:P6),$S$5:$W$31,4,FALSE),"")</f>
        <v/>
      </c>
      <c r="Q6" s="1" t="str">
        <f>IFERROR(VLOOKUP(ROWS(Q$5:Q6),$S$5:$W$31,5,FALSE),"")</f>
        <v/>
      </c>
      <c r="S6" s="1">
        <f>IF(ISNUMBER(SEARCH($P$2,T6)),MAX(S$4:S5)+1,0)</f>
        <v>0</v>
      </c>
      <c r="T6" s="1" t="str">
        <f t="shared" ref="T6:T31" si="0">U6&amp;V6&amp;W6</f>
        <v>Wire Verification100001</v>
      </c>
      <c r="U6" s="1" t="str">
        <f>Table2[[#This Row],[Field Time ]]</f>
        <v>Wire Verification</v>
      </c>
      <c r="V6" s="1">
        <f>Table2[[#This Row],[Phase Code]]</f>
        <v>100</v>
      </c>
      <c r="W6" s="1" t="str">
        <f>Table2[[#This Row],[Cost Code]]</f>
        <v>001</v>
      </c>
    </row>
    <row r="7" spans="2:23" x14ac:dyDescent="0.35">
      <c r="B7" s="7" t="s">
        <v>117</v>
      </c>
      <c r="C7" s="12" t="s">
        <v>82</v>
      </c>
      <c r="D7" s="7" t="s">
        <v>118</v>
      </c>
      <c r="F7" s="9" t="s">
        <v>4</v>
      </c>
      <c r="G7" s="10">
        <v>100</v>
      </c>
      <c r="H7" s="10" t="s">
        <v>20</v>
      </c>
      <c r="J7" s="9" t="s">
        <v>41</v>
      </c>
      <c r="K7" s="11">
        <v>200</v>
      </c>
      <c r="L7" s="10" t="s">
        <v>20</v>
      </c>
      <c r="O7" s="1" t="str">
        <f>IFERROR(VLOOKUP(ROWS(O$5:O7),$S$5:$W$31,3,FALSE),"")</f>
        <v/>
      </c>
      <c r="P7" s="1" t="str">
        <f>IFERROR(VLOOKUP(ROWS(P$5:P7),$S$5:$W$31,4,FALSE),"")</f>
        <v/>
      </c>
      <c r="Q7" s="1" t="str">
        <f>IFERROR(VLOOKUP(ROWS(Q$5:Q7),$S$5:$W$31,5,FALSE),"")</f>
        <v/>
      </c>
      <c r="S7" s="1">
        <f>IF(ISNUMBER(SEARCH($P$2,T7)),MAX(S$4:S6)+1,0)</f>
        <v>0</v>
      </c>
      <c r="T7" s="1" t="str">
        <f t="shared" si="0"/>
        <v>Breakers 100002</v>
      </c>
      <c r="U7" s="1" t="str">
        <f>Table2[[#This Row],[Field Time ]]</f>
        <v xml:space="preserve">Breakers </v>
      </c>
      <c r="V7" s="1">
        <f>Table2[[#This Row],[Phase Code]]</f>
        <v>100</v>
      </c>
      <c r="W7" s="1" t="str">
        <f>Table2[[#This Row],[Cost Code]]</f>
        <v>002</v>
      </c>
    </row>
    <row r="8" spans="2:23" x14ac:dyDescent="0.35">
      <c r="B8" s="7" t="s">
        <v>84</v>
      </c>
      <c r="C8" s="12" t="s">
        <v>83</v>
      </c>
      <c r="D8" s="7" t="s">
        <v>118</v>
      </c>
      <c r="F8" s="9" t="s">
        <v>5</v>
      </c>
      <c r="G8" s="10">
        <v>100</v>
      </c>
      <c r="H8" s="10" t="s">
        <v>21</v>
      </c>
      <c r="J8" s="9" t="s">
        <v>42</v>
      </c>
      <c r="K8" s="11">
        <v>200</v>
      </c>
      <c r="L8" s="10" t="s">
        <v>21</v>
      </c>
      <c r="O8" s="1" t="str">
        <f>IFERROR(VLOOKUP(ROWS(O$5:O8),$S$5:$W$31,3,FALSE),"")</f>
        <v/>
      </c>
      <c r="P8" s="1" t="str">
        <f>IFERROR(VLOOKUP(ROWS(P$5:P8),$S$5:$W$31,4,FALSE),"")</f>
        <v/>
      </c>
      <c r="Q8" s="1" t="str">
        <f>IFERROR(VLOOKUP(ROWS(Q$5:Q8),$S$5:$W$31,5,FALSE),"")</f>
        <v/>
      </c>
      <c r="S8" s="1">
        <f>IF(ISNUMBER(SEARCH($P$2,T8)),MAX(S$4:S7)+1,0)</f>
        <v>0</v>
      </c>
      <c r="T8" s="1" t="str">
        <f t="shared" si="0"/>
        <v>CTs100003</v>
      </c>
      <c r="U8" s="1" t="str">
        <f>Table2[[#This Row],[Field Time ]]</f>
        <v>CTs</v>
      </c>
      <c r="V8" s="1">
        <f>Table2[[#This Row],[Phase Code]]</f>
        <v>100</v>
      </c>
      <c r="W8" s="1" t="str">
        <f>Table2[[#This Row],[Cost Code]]</f>
        <v>003</v>
      </c>
    </row>
    <row r="9" spans="2:23" x14ac:dyDescent="0.35">
      <c r="B9" s="7" t="s">
        <v>86</v>
      </c>
      <c r="C9" s="12" t="s">
        <v>85</v>
      </c>
      <c r="D9" s="7" t="s">
        <v>118</v>
      </c>
      <c r="F9" s="9" t="s">
        <v>6</v>
      </c>
      <c r="G9" s="10">
        <v>100</v>
      </c>
      <c r="H9" s="10" t="s">
        <v>22</v>
      </c>
      <c r="J9" s="9" t="s">
        <v>52</v>
      </c>
      <c r="K9" s="11">
        <v>200</v>
      </c>
      <c r="L9" s="10" t="s">
        <v>22</v>
      </c>
      <c r="O9" s="1" t="str">
        <f>IFERROR(VLOOKUP(ROWS(O$5:O9),$S$5:$W$31,3,FALSE),"")</f>
        <v/>
      </c>
      <c r="P9" s="1" t="str">
        <f>IFERROR(VLOOKUP(ROWS(P$5:P9),$S$5:$W$31,4,FALSE),"")</f>
        <v/>
      </c>
      <c r="Q9" s="1" t="str">
        <f>IFERROR(VLOOKUP(ROWS(Q$5:Q9),$S$5:$W$31,5,FALSE),"")</f>
        <v/>
      </c>
      <c r="S9" s="1">
        <f>IF(ISNUMBER(SEARCH($P$2,T9)),MAX(S$4:S8)+1,0)</f>
        <v>0</v>
      </c>
      <c r="T9" s="1" t="str">
        <f t="shared" si="0"/>
        <v>PTs 100004</v>
      </c>
      <c r="U9" s="1" t="str">
        <f>Table2[[#This Row],[Field Time ]]</f>
        <v xml:space="preserve">PTs </v>
      </c>
      <c r="V9" s="1">
        <f>Table2[[#This Row],[Phase Code]]</f>
        <v>100</v>
      </c>
      <c r="W9" s="1" t="str">
        <f>Table2[[#This Row],[Cost Code]]</f>
        <v>004</v>
      </c>
    </row>
    <row r="10" spans="2:23" x14ac:dyDescent="0.35">
      <c r="B10" s="7" t="s">
        <v>88</v>
      </c>
      <c r="C10" s="12" t="s">
        <v>87</v>
      </c>
      <c r="D10" s="7" t="s">
        <v>118</v>
      </c>
      <c r="F10" s="9" t="s">
        <v>7</v>
      </c>
      <c r="G10" s="10">
        <v>100</v>
      </c>
      <c r="H10" s="10" t="s">
        <v>23</v>
      </c>
      <c r="J10" s="9" t="s">
        <v>43</v>
      </c>
      <c r="K10" s="11">
        <v>200</v>
      </c>
      <c r="L10" s="10" t="s">
        <v>23</v>
      </c>
      <c r="O10" s="1" t="str">
        <f>IFERROR(VLOOKUP(ROWS(O$5:O10),$S$5:$W$31,3,FALSE),"")</f>
        <v/>
      </c>
      <c r="P10" s="1" t="str">
        <f>IFERROR(VLOOKUP(ROWS(P$5:P10),$S$5:$W$31,4,FALSE),"")</f>
        <v/>
      </c>
      <c r="Q10" s="1" t="str">
        <f>IFERROR(VLOOKUP(ROWS(Q$5:Q10),$S$5:$W$31,5,FALSE),"")</f>
        <v/>
      </c>
      <c r="S10" s="1">
        <f>IF(ISNUMBER(SEARCH($P$2,T10)),MAX(S$4:S9)+1,0)</f>
        <v>0</v>
      </c>
      <c r="T10" s="1" t="str">
        <f t="shared" si="0"/>
        <v>CCVT Testing100005</v>
      </c>
      <c r="U10" s="1" t="str">
        <f>Table2[[#This Row],[Field Time ]]</f>
        <v>CCVT Testing</v>
      </c>
      <c r="V10" s="1">
        <f>Table2[[#This Row],[Phase Code]]</f>
        <v>100</v>
      </c>
      <c r="W10" s="1" t="str">
        <f>Table2[[#This Row],[Cost Code]]</f>
        <v>005</v>
      </c>
    </row>
    <row r="11" spans="2:23" x14ac:dyDescent="0.35">
      <c r="B11" s="7" t="s">
        <v>90</v>
      </c>
      <c r="C11" s="12" t="s">
        <v>89</v>
      </c>
      <c r="D11" s="7" t="s">
        <v>119</v>
      </c>
      <c r="F11" s="9" t="s">
        <v>8</v>
      </c>
      <c r="G11" s="10">
        <v>100</v>
      </c>
      <c r="H11" s="10" t="s">
        <v>24</v>
      </c>
      <c r="J11" s="9" t="s">
        <v>62</v>
      </c>
      <c r="K11" s="11">
        <v>200</v>
      </c>
      <c r="L11" s="10" t="s">
        <v>24</v>
      </c>
      <c r="O11" s="1" t="str">
        <f>IFERROR(VLOOKUP(ROWS(O$5:O11),$S$5:$W$31,3,FALSE),"")</f>
        <v/>
      </c>
      <c r="P11" s="1" t="str">
        <f>IFERROR(VLOOKUP(ROWS(P$5:P11),$S$5:$W$31,4,FALSE),"")</f>
        <v/>
      </c>
      <c r="Q11" s="1" t="str">
        <f>IFERROR(VLOOKUP(ROWS(Q$5:Q11),$S$5:$W$31,5,FALSE),"")</f>
        <v/>
      </c>
      <c r="S11" s="1">
        <f>IF(ISNUMBER(SEARCH($P$2,T11)),MAX(S$4:S10)+1,0)</f>
        <v>0</v>
      </c>
      <c r="T11" s="1" t="str">
        <f t="shared" si="0"/>
        <v>Surge Arrestors100006</v>
      </c>
      <c r="U11" s="1" t="str">
        <f>Table2[[#This Row],[Field Time ]]</f>
        <v>Surge Arrestors</v>
      </c>
      <c r="V11" s="1">
        <f>Table2[[#This Row],[Phase Code]]</f>
        <v>100</v>
      </c>
      <c r="W11" s="1" t="str">
        <f>Table2[[#This Row],[Cost Code]]</f>
        <v>006</v>
      </c>
    </row>
    <row r="12" spans="2:23" x14ac:dyDescent="0.35">
      <c r="B12" s="7" t="s">
        <v>92</v>
      </c>
      <c r="C12" s="12" t="s">
        <v>91</v>
      </c>
      <c r="D12" s="7" t="s">
        <v>119</v>
      </c>
      <c r="F12" s="9" t="s">
        <v>9</v>
      </c>
      <c r="G12" s="10">
        <v>100</v>
      </c>
      <c r="H12" s="10" t="s">
        <v>25</v>
      </c>
      <c r="J12" s="9" t="s">
        <v>54</v>
      </c>
      <c r="K12" s="11">
        <v>200</v>
      </c>
      <c r="L12" s="10" t="s">
        <v>25</v>
      </c>
      <c r="O12" s="1" t="str">
        <f>IFERROR(VLOOKUP(ROWS(O$5:O12),$S$5:$W$31,3,FALSE),"")</f>
        <v/>
      </c>
      <c r="P12" s="1" t="str">
        <f>IFERROR(VLOOKUP(ROWS(P$5:P12),$S$5:$W$31,4,FALSE),"")</f>
        <v/>
      </c>
      <c r="Q12" s="1" t="str">
        <f>IFERROR(VLOOKUP(ROWS(Q$5:Q12),$S$5:$W$31,5,FALSE),"")</f>
        <v/>
      </c>
      <c r="S12" s="1">
        <f>IF(ISNUMBER(SEARCH($P$2,T12)),MAX(S$4:S11)+1,0)</f>
        <v>1</v>
      </c>
      <c r="T12" s="1" t="str">
        <f t="shared" si="0"/>
        <v>Reactors100007</v>
      </c>
      <c r="U12" s="1" t="str">
        <f>Table2[[#This Row],[Field Time ]]</f>
        <v>Reactors</v>
      </c>
      <c r="V12" s="1">
        <f>Table2[[#This Row],[Phase Code]]</f>
        <v>100</v>
      </c>
      <c r="W12" s="1" t="str">
        <f>Table2[[#This Row],[Cost Code]]</f>
        <v>007</v>
      </c>
    </row>
    <row r="13" spans="2:23" x14ac:dyDescent="0.35">
      <c r="B13" s="7" t="s">
        <v>137</v>
      </c>
      <c r="C13" s="12" t="s">
        <v>93</v>
      </c>
      <c r="D13" s="7" t="s">
        <v>119</v>
      </c>
      <c r="F13" s="9" t="s">
        <v>10</v>
      </c>
      <c r="G13" s="10">
        <v>100</v>
      </c>
      <c r="H13" s="10" t="s">
        <v>26</v>
      </c>
      <c r="J13" s="9" t="s">
        <v>55</v>
      </c>
      <c r="K13" s="11">
        <v>200</v>
      </c>
      <c r="L13" s="10" t="s">
        <v>26</v>
      </c>
      <c r="O13" s="1" t="str">
        <f>IFERROR(VLOOKUP(ROWS(O$5:O13),$S$5:$W$31,3,FALSE),"")</f>
        <v/>
      </c>
      <c r="P13" s="1" t="str">
        <f>IFERROR(VLOOKUP(ROWS(P$5:P13),$S$5:$W$31,4,FALSE),"")</f>
        <v/>
      </c>
      <c r="Q13" s="1" t="str">
        <f>IFERROR(VLOOKUP(ROWS(Q$5:Q13),$S$5:$W$31,5,FALSE),"")</f>
        <v/>
      </c>
      <c r="S13" s="1">
        <f>IF(ISNUMBER(SEARCH($P$2,T13)),MAX(S$4:S12)+1,0)</f>
        <v>0</v>
      </c>
      <c r="T13" s="1" t="str">
        <f t="shared" si="0"/>
        <v>Protection/Metering100008</v>
      </c>
      <c r="U13" s="1" t="str">
        <f>Table2[[#This Row],[Field Time ]]</f>
        <v>Protection/Metering</v>
      </c>
      <c r="V13" s="1">
        <f>Table2[[#This Row],[Phase Code]]</f>
        <v>100</v>
      </c>
      <c r="W13" s="1" t="str">
        <f>Table2[[#This Row],[Cost Code]]</f>
        <v>008</v>
      </c>
    </row>
    <row r="14" spans="2:23" x14ac:dyDescent="0.35">
      <c r="B14" s="7" t="s">
        <v>136</v>
      </c>
      <c r="C14" s="12" t="s">
        <v>94</v>
      </c>
      <c r="D14" s="7" t="s">
        <v>119</v>
      </c>
      <c r="F14" s="9" t="s">
        <v>11</v>
      </c>
      <c r="G14" s="10">
        <v>100</v>
      </c>
      <c r="H14" s="10" t="s">
        <v>27</v>
      </c>
      <c r="J14" s="9" t="s">
        <v>69</v>
      </c>
      <c r="K14" s="11" t="s">
        <v>110</v>
      </c>
      <c r="L14" s="10" t="s">
        <v>110</v>
      </c>
      <c r="O14" s="1" t="str">
        <f>IFERROR(VLOOKUP(ROWS(O$5:O14),$S$5:$W$31,3,FALSE),"")</f>
        <v/>
      </c>
      <c r="P14" s="1" t="str">
        <f>IFERROR(VLOOKUP(ROWS(P$5:P14),$S$5:$W$31,4,FALSE),"")</f>
        <v/>
      </c>
      <c r="Q14" s="1" t="str">
        <f>IFERROR(VLOOKUP(ROWS(Q$5:Q14),$S$5:$W$31,5,FALSE),"")</f>
        <v/>
      </c>
      <c r="S14" s="1">
        <f>IF(ISNUMBER(SEARCH($P$2,T14)),MAX(S$4:S13)+1,0)</f>
        <v>0</v>
      </c>
      <c r="T14" s="1" t="str">
        <f t="shared" si="0"/>
        <v>Bus Systems100009</v>
      </c>
      <c r="U14" s="1" t="str">
        <f>Table2[[#This Row],[Field Time ]]</f>
        <v>Bus Systems</v>
      </c>
      <c r="V14" s="1">
        <f>Table2[[#This Row],[Phase Code]]</f>
        <v>100</v>
      </c>
      <c r="W14" s="1" t="str">
        <f>Table2[[#This Row],[Cost Code]]</f>
        <v>009</v>
      </c>
    </row>
    <row r="15" spans="2:23" x14ac:dyDescent="0.35">
      <c r="B15" s="7" t="s">
        <v>138</v>
      </c>
      <c r="C15" s="12" t="s">
        <v>95</v>
      </c>
      <c r="D15" s="7" t="s">
        <v>119</v>
      </c>
      <c r="F15" s="9" t="s">
        <v>12</v>
      </c>
      <c r="G15" s="10">
        <v>100</v>
      </c>
      <c r="H15" s="10" t="s">
        <v>28</v>
      </c>
      <c r="J15" s="9" t="s">
        <v>70</v>
      </c>
      <c r="K15" s="11" t="s">
        <v>110</v>
      </c>
      <c r="L15" s="10" t="s">
        <v>110</v>
      </c>
      <c r="O15" s="1" t="str">
        <f>IFERROR(VLOOKUP(ROWS(O$5:O15),$S$5:$W$31,3,FALSE),"")</f>
        <v/>
      </c>
      <c r="P15" s="1" t="str">
        <f>IFERROR(VLOOKUP(ROWS(P$5:P15),$S$5:$W$31,4,FALSE),"")</f>
        <v/>
      </c>
      <c r="Q15" s="1" t="str">
        <f>IFERROR(VLOOKUP(ROWS(Q$5:Q15),$S$5:$W$31,5,FALSE),"")</f>
        <v/>
      </c>
      <c r="S15" s="1">
        <f>IF(ISNUMBER(SEARCH($P$2,T15)),MAX(S$4:S14)+1,0)</f>
        <v>0</v>
      </c>
      <c r="T15" s="1" t="str">
        <f t="shared" si="0"/>
        <v>Transformers100010</v>
      </c>
      <c r="U15" s="1" t="str">
        <f>Table2[[#This Row],[Field Time ]]</f>
        <v>Transformers</v>
      </c>
      <c r="V15" s="1">
        <f>Table2[[#This Row],[Phase Code]]</f>
        <v>100</v>
      </c>
      <c r="W15" s="1" t="str">
        <f>Table2[[#This Row],[Cost Code]]</f>
        <v>010</v>
      </c>
    </row>
    <row r="16" spans="2:23" x14ac:dyDescent="0.35">
      <c r="B16" s="7" t="s">
        <v>139</v>
      </c>
      <c r="C16" s="12" t="s">
        <v>96</v>
      </c>
      <c r="D16" s="7" t="s">
        <v>119</v>
      </c>
      <c r="F16" s="9" t="s">
        <v>18</v>
      </c>
      <c r="G16" s="10">
        <v>100</v>
      </c>
      <c r="H16" s="10" t="s">
        <v>29</v>
      </c>
      <c r="J16" s="9" t="s">
        <v>71</v>
      </c>
      <c r="K16" s="11" t="s">
        <v>110</v>
      </c>
      <c r="L16" s="10" t="s">
        <v>110</v>
      </c>
      <c r="O16" s="1" t="str">
        <f>IFERROR(VLOOKUP(ROWS(O$5:O16),$S$5:$W$31,3,FALSE),"")</f>
        <v/>
      </c>
      <c r="P16" s="1" t="str">
        <f>IFERROR(VLOOKUP(ROWS(P$5:P16),$S$5:$W$31,4,FALSE),"")</f>
        <v/>
      </c>
      <c r="Q16" s="1" t="str">
        <f>IFERROR(VLOOKUP(ROWS(Q$5:Q16),$S$5:$W$31,5,FALSE),"")</f>
        <v/>
      </c>
      <c r="S16" s="1">
        <f>IF(ISNUMBER(SEARCH($P$2,T16)),MAX(S$4:S15)+1,0)</f>
        <v>0</v>
      </c>
      <c r="T16" s="1" t="str">
        <f t="shared" si="0"/>
        <v>Protection/SCADA/Comm100011</v>
      </c>
      <c r="U16" s="1" t="str">
        <f>Table2[[#This Row],[Field Time ]]</f>
        <v>Protection/SCADA/Comm</v>
      </c>
      <c r="V16" s="1">
        <f>Table2[[#This Row],[Phase Code]]</f>
        <v>100</v>
      </c>
      <c r="W16" s="1" t="str">
        <f>Table2[[#This Row],[Cost Code]]</f>
        <v>011</v>
      </c>
    </row>
    <row r="17" spans="2:23" x14ac:dyDescent="0.35">
      <c r="B17" s="7" t="s">
        <v>98</v>
      </c>
      <c r="C17" s="12" t="s">
        <v>97</v>
      </c>
      <c r="D17" s="7" t="s">
        <v>119</v>
      </c>
      <c r="F17" s="9" t="s">
        <v>13</v>
      </c>
      <c r="G17" s="10">
        <v>100</v>
      </c>
      <c r="H17" s="10" t="s">
        <v>30</v>
      </c>
      <c r="J17" s="9" t="s">
        <v>72</v>
      </c>
      <c r="K17" s="11" t="s">
        <v>110</v>
      </c>
      <c r="L17" s="10" t="s">
        <v>110</v>
      </c>
      <c r="O17" s="1" t="str">
        <f>IFERROR(VLOOKUP(ROWS(O$5:O17),$S$5:$W$31,3,FALSE),"")</f>
        <v/>
      </c>
      <c r="P17" s="1" t="str">
        <f>IFERROR(VLOOKUP(ROWS(P$5:P17),$S$5:$W$31,4,FALSE),"")</f>
        <v/>
      </c>
      <c r="Q17" s="1" t="str">
        <f>IFERROR(VLOOKUP(ROWS(Q$5:Q17),$S$5:$W$31,5,FALSE),"")</f>
        <v/>
      </c>
      <c r="S17" s="1">
        <f>IF(ISNUMBER(SEARCH($P$2,T17)),MAX(S$4:S16)+1,0)</f>
        <v>0</v>
      </c>
      <c r="T17" s="1" t="str">
        <f t="shared" si="0"/>
        <v>Station Grounding100012</v>
      </c>
      <c r="U17" s="1" t="str">
        <f>Table2[[#This Row],[Field Time ]]</f>
        <v>Station Grounding</v>
      </c>
      <c r="V17" s="1">
        <f>Table2[[#This Row],[Phase Code]]</f>
        <v>100</v>
      </c>
      <c r="W17" s="1" t="str">
        <f>Table2[[#This Row],[Cost Code]]</f>
        <v>012</v>
      </c>
    </row>
    <row r="18" spans="2:23" x14ac:dyDescent="0.35">
      <c r="B18" s="7" t="s">
        <v>140</v>
      </c>
      <c r="C18" s="12" t="s">
        <v>99</v>
      </c>
      <c r="D18" s="7" t="s">
        <v>119</v>
      </c>
      <c r="F18" s="9" t="s">
        <v>14</v>
      </c>
      <c r="G18" s="10">
        <v>100</v>
      </c>
      <c r="H18" s="10" t="s">
        <v>31</v>
      </c>
      <c r="J18" s="9" t="s">
        <v>73</v>
      </c>
      <c r="K18" s="11" t="s">
        <v>110</v>
      </c>
      <c r="L18" s="10" t="s">
        <v>110</v>
      </c>
      <c r="O18" s="1" t="str">
        <f>IFERROR(VLOOKUP(ROWS(O$5:O18),$S$5:$W$31,3,FALSE),"")</f>
        <v/>
      </c>
      <c r="P18" s="1" t="str">
        <f>IFERROR(VLOOKUP(ROWS(P$5:P18),$S$5:$W$31,4,FALSE),"")</f>
        <v/>
      </c>
      <c r="Q18" s="1" t="str">
        <f>IFERROR(VLOOKUP(ROWS(Q$5:Q18),$S$5:$W$31,5,FALSE),"")</f>
        <v/>
      </c>
      <c r="S18" s="1">
        <f>IF(ISNUMBER(SEARCH($P$2,T18)),MAX(S$4:S17)+1,0)</f>
        <v>0</v>
      </c>
      <c r="T18" s="1" t="str">
        <f t="shared" si="0"/>
        <v>Station Batteries/Chargers100013</v>
      </c>
      <c r="U18" s="1" t="str">
        <f>Table2[[#This Row],[Field Time ]]</f>
        <v>Station Batteries/Chargers</v>
      </c>
      <c r="V18" s="1">
        <f>Table2[[#This Row],[Phase Code]]</f>
        <v>100</v>
      </c>
      <c r="W18" s="1" t="str">
        <f>Table2[[#This Row],[Cost Code]]</f>
        <v>013</v>
      </c>
    </row>
    <row r="19" spans="2:23" x14ac:dyDescent="0.35">
      <c r="B19" s="7" t="s">
        <v>101</v>
      </c>
      <c r="C19" s="12" t="s">
        <v>100</v>
      </c>
      <c r="D19" s="7" t="s">
        <v>119</v>
      </c>
      <c r="F19" s="9" t="s">
        <v>57</v>
      </c>
      <c r="G19" s="10">
        <v>100</v>
      </c>
      <c r="H19" s="10" t="s">
        <v>32</v>
      </c>
      <c r="J19" s="9" t="s">
        <v>74</v>
      </c>
      <c r="K19" s="11" t="s">
        <v>110</v>
      </c>
      <c r="L19" s="10" t="s">
        <v>110</v>
      </c>
      <c r="O19" s="1" t="str">
        <f>IFERROR(VLOOKUP(ROWS(O$5:O19),$S$5:$W$31,3,FALSE),"")</f>
        <v/>
      </c>
      <c r="P19" s="1" t="str">
        <f>IFERROR(VLOOKUP(ROWS(P$5:P19),$S$5:$W$31,4,FALSE),"")</f>
        <v/>
      </c>
      <c r="Q19" s="1" t="str">
        <f>IFERROR(VLOOKUP(ROWS(Q$5:Q19),$S$5:$W$31,5,FALSE),"")</f>
        <v/>
      </c>
      <c r="S19" s="1">
        <f>IF(ISNUMBER(SEARCH($P$2,T19)),MAX(S$4:S18)+1,0)</f>
        <v>0</v>
      </c>
      <c r="T19" s="1" t="str">
        <f t="shared" si="0"/>
        <v>Switches/ATS/Disconnects100014</v>
      </c>
      <c r="U19" s="1" t="str">
        <f>Table2[[#This Row],[Field Time ]]</f>
        <v>Switches/ATS/Disconnects</v>
      </c>
      <c r="V19" s="1">
        <f>Table2[[#This Row],[Phase Code]]</f>
        <v>100</v>
      </c>
      <c r="W19" s="1" t="str">
        <f>Table2[[#This Row],[Cost Code]]</f>
        <v>014</v>
      </c>
    </row>
    <row r="20" spans="2:23" x14ac:dyDescent="0.35">
      <c r="B20" s="7" t="s">
        <v>141</v>
      </c>
      <c r="C20" s="12"/>
      <c r="D20" s="7" t="s">
        <v>120</v>
      </c>
      <c r="F20" s="9" t="s">
        <v>15</v>
      </c>
      <c r="G20" s="10">
        <v>100</v>
      </c>
      <c r="H20" s="10" t="s">
        <v>33</v>
      </c>
      <c r="J20" s="9" t="s">
        <v>75</v>
      </c>
      <c r="K20" s="11" t="s">
        <v>110</v>
      </c>
      <c r="L20" s="10" t="s">
        <v>110</v>
      </c>
      <c r="O20" s="1" t="str">
        <f>IFERROR(VLOOKUP(ROWS(O$5:O20),$S$5:$W$31,3,FALSE),"")</f>
        <v/>
      </c>
      <c r="P20" s="1" t="str">
        <f>IFERROR(VLOOKUP(ROWS(P$5:P20),$S$5:$W$31,4,FALSE),"")</f>
        <v/>
      </c>
      <c r="Q20" s="1" t="str">
        <f>IFERROR(VLOOKUP(ROWS(Q$5:Q20),$S$5:$W$31,5,FALSE),"")</f>
        <v/>
      </c>
      <c r="S20" s="1">
        <f>IF(ISNUMBER(SEARCH($P$2,T20)),MAX(S$4:S19)+1,0)</f>
        <v>0</v>
      </c>
      <c r="T20" s="1" t="str">
        <f t="shared" si="0"/>
        <v>LV Panels100015</v>
      </c>
      <c r="U20" s="1" t="str">
        <f>Table2[[#This Row],[Field Time ]]</f>
        <v>LV Panels</v>
      </c>
      <c r="V20" s="1">
        <f>Table2[[#This Row],[Phase Code]]</f>
        <v>100</v>
      </c>
      <c r="W20" s="1" t="str">
        <f>Table2[[#This Row],[Cost Code]]</f>
        <v>015</v>
      </c>
    </row>
    <row r="21" spans="2:23" x14ac:dyDescent="0.35">
      <c r="B21" s="7" t="s">
        <v>102</v>
      </c>
      <c r="C21" s="12">
        <v>15002</v>
      </c>
      <c r="D21" s="7" t="s">
        <v>121</v>
      </c>
      <c r="F21" s="9" t="s">
        <v>61</v>
      </c>
      <c r="G21" s="11">
        <v>100</v>
      </c>
      <c r="H21" s="10" t="s">
        <v>34</v>
      </c>
      <c r="J21" s="9" t="s">
        <v>76</v>
      </c>
      <c r="K21" s="11" t="s">
        <v>110</v>
      </c>
      <c r="L21" s="10" t="s">
        <v>110</v>
      </c>
      <c r="O21" s="1" t="str">
        <f>IFERROR(VLOOKUP(ROWS(O$5:O21),$S$5:$W$31,3,FALSE),"")</f>
        <v/>
      </c>
      <c r="P21" s="1" t="str">
        <f>IFERROR(VLOOKUP(ROWS(P$5:P21),$S$5:$W$31,4,FALSE),"")</f>
        <v/>
      </c>
      <c r="Q21" s="1" t="str">
        <f>IFERROR(VLOOKUP(ROWS(Q$5:Q21),$S$5:$W$31,5,FALSE),"")</f>
        <v/>
      </c>
      <c r="S21" s="1">
        <f>IF(ISNUMBER(SEARCH($P$2,T21)),MAX(S$4:S20)+1,0)</f>
        <v>0</v>
      </c>
      <c r="T21" s="1" t="str">
        <f t="shared" si="0"/>
        <v>Aux Systems (Fire, Security)100016</v>
      </c>
      <c r="U21" s="1" t="str">
        <f>Table2[[#This Row],[Field Time ]]</f>
        <v>Aux Systems (Fire, Security)</v>
      </c>
      <c r="V21" s="1">
        <f>Table2[[#This Row],[Phase Code]]</f>
        <v>100</v>
      </c>
      <c r="W21" s="1" t="str">
        <f>Table2[[#This Row],[Cost Code]]</f>
        <v>016</v>
      </c>
    </row>
    <row r="22" spans="2:23" x14ac:dyDescent="0.35">
      <c r="B22" s="7" t="s">
        <v>142</v>
      </c>
      <c r="C22" s="12">
        <v>15003</v>
      </c>
      <c r="D22" s="7" t="s">
        <v>121</v>
      </c>
      <c r="F22" s="9" t="s">
        <v>16</v>
      </c>
      <c r="G22" s="11">
        <v>100</v>
      </c>
      <c r="H22" s="10" t="s">
        <v>35</v>
      </c>
      <c r="J22" s="9" t="s">
        <v>47</v>
      </c>
      <c r="K22" s="11" t="s">
        <v>110</v>
      </c>
      <c r="L22" s="10" t="s">
        <v>110</v>
      </c>
      <c r="O22" s="1" t="str">
        <f>IFERROR(VLOOKUP(ROWS(O$5:O22),$S$5:$W$31,3,FALSE),"")</f>
        <v/>
      </c>
      <c r="P22" s="1" t="str">
        <f>IFERROR(VLOOKUP(ROWS(P$5:P22),$S$5:$W$31,4,FALSE),"")</f>
        <v/>
      </c>
      <c r="Q22" s="1" t="str">
        <f>IFERROR(VLOOKUP(ROWS(Q$5:Q22),$S$5:$W$31,5,FALSE),"")</f>
        <v/>
      </c>
      <c r="S22" s="1">
        <f>IF(ISNUMBER(SEARCH($P$2,T22)),MAX(S$4:S21)+1,0)</f>
        <v>0</v>
      </c>
      <c r="T22" s="1" t="str">
        <f t="shared" si="0"/>
        <v>Functional Testing100017</v>
      </c>
      <c r="U22" s="1" t="str">
        <f>Table2[[#This Row],[Field Time ]]</f>
        <v>Functional Testing</v>
      </c>
      <c r="V22" s="1">
        <f>Table2[[#This Row],[Phase Code]]</f>
        <v>100</v>
      </c>
      <c r="W22" s="1" t="str">
        <f>Table2[[#This Row],[Cost Code]]</f>
        <v>017</v>
      </c>
    </row>
    <row r="23" spans="2:23" x14ac:dyDescent="0.35">
      <c r="B23" s="7" t="s">
        <v>143</v>
      </c>
      <c r="C23" s="12">
        <v>15004</v>
      </c>
      <c r="D23" s="7" t="s">
        <v>122</v>
      </c>
      <c r="F23" s="9" t="s">
        <v>17</v>
      </c>
      <c r="G23" s="11">
        <v>100</v>
      </c>
      <c r="H23" s="10" t="s">
        <v>36</v>
      </c>
      <c r="J23" s="9" t="s">
        <v>48</v>
      </c>
      <c r="K23" s="11" t="s">
        <v>110</v>
      </c>
      <c r="L23" s="10" t="s">
        <v>110</v>
      </c>
      <c r="O23" s="1" t="str">
        <f>IFERROR(VLOOKUP(ROWS(O$5:O23),$S$5:$W$31,3,FALSE),"")</f>
        <v/>
      </c>
      <c r="P23" s="1" t="str">
        <f>IFERROR(VLOOKUP(ROWS(P$5:P23),$S$5:$W$31,4,FALSE),"")</f>
        <v/>
      </c>
      <c r="Q23" s="1" t="str">
        <f>IFERROR(VLOOKUP(ROWS(Q$5:Q23),$S$5:$W$31,5,FALSE),"")</f>
        <v/>
      </c>
      <c r="S23" s="1">
        <f>IF(ISNUMBER(SEARCH($P$2,T23)),MAX(S$4:S22)+1,0)</f>
        <v>0</v>
      </c>
      <c r="T23" s="1" t="str">
        <f t="shared" si="0"/>
        <v>Pre-Paralelling Checkout100018</v>
      </c>
      <c r="U23" s="1" t="str">
        <f>Table2[[#This Row],[Field Time ]]</f>
        <v>Pre-Paralelling Checkout</v>
      </c>
      <c r="V23" s="1">
        <f>Table2[[#This Row],[Phase Code]]</f>
        <v>100</v>
      </c>
      <c r="W23" s="1" t="str">
        <f>Table2[[#This Row],[Cost Code]]</f>
        <v>018</v>
      </c>
    </row>
    <row r="24" spans="2:23" x14ac:dyDescent="0.35">
      <c r="B24" s="7" t="s">
        <v>144</v>
      </c>
      <c r="C24" s="12">
        <v>15005</v>
      </c>
      <c r="D24" s="7" t="s">
        <v>122</v>
      </c>
      <c r="F24" s="9" t="s">
        <v>56</v>
      </c>
      <c r="G24" s="11">
        <v>100</v>
      </c>
      <c r="H24" s="10" t="s">
        <v>37</v>
      </c>
      <c r="J24" s="9" t="s">
        <v>49</v>
      </c>
      <c r="K24" s="11" t="s">
        <v>110</v>
      </c>
      <c r="L24" s="10" t="s">
        <v>110</v>
      </c>
      <c r="O24" s="1" t="str">
        <f>IFERROR(VLOOKUP(ROWS(O$5:O24),$S$5:$W$31,3,FALSE),"")</f>
        <v/>
      </c>
      <c r="P24" s="1" t="str">
        <f>IFERROR(VLOOKUP(ROWS(P$5:P24),$S$5:$W$31,4,FALSE),"")</f>
        <v/>
      </c>
      <c r="Q24" s="1" t="str">
        <f>IFERROR(VLOOKUP(ROWS(Q$5:Q24),$S$5:$W$31,5,FALSE),"")</f>
        <v/>
      </c>
      <c r="S24" s="1">
        <f>IF(ISNUMBER(SEARCH($P$2,T24)),MAX(S$4:S23)+1,0)</f>
        <v>0</v>
      </c>
      <c r="T24" s="1" t="str">
        <f t="shared" si="0"/>
        <v>Start-up/Inspection Support100019</v>
      </c>
      <c r="U24" s="1" t="str">
        <f>Table2[[#This Row],[Field Time ]]</f>
        <v>Start-up/Inspection Support</v>
      </c>
      <c r="V24" s="1">
        <f>Table2[[#This Row],[Phase Code]]</f>
        <v>100</v>
      </c>
      <c r="W24" s="1" t="str">
        <f>Table2[[#This Row],[Cost Code]]</f>
        <v>019</v>
      </c>
    </row>
    <row r="25" spans="2:23" x14ac:dyDescent="0.35">
      <c r="B25" s="7" t="s">
        <v>145</v>
      </c>
      <c r="C25" s="12">
        <v>15006</v>
      </c>
      <c r="D25" s="7" t="s">
        <v>123</v>
      </c>
      <c r="F25" s="9" t="s">
        <v>59</v>
      </c>
      <c r="G25" s="11">
        <v>100</v>
      </c>
      <c r="H25" s="10" t="s">
        <v>38</v>
      </c>
      <c r="S25" s="1">
        <f>IF(ISNUMBER(SEARCH($P$2,T25)),MAX(S$4:S24)+1,0)</f>
        <v>0</v>
      </c>
      <c r="T25" s="1" t="str">
        <f t="shared" si="0"/>
        <v>Misc Installation/Maintenance100020</v>
      </c>
      <c r="U25" s="1" t="str">
        <f>Table2[[#This Row],[Field Time ]]</f>
        <v>Misc Installation/Maintenance</v>
      </c>
      <c r="V25" s="1">
        <f>Table2[[#This Row],[Phase Code]]</f>
        <v>100</v>
      </c>
      <c r="W25" s="1" t="str">
        <f>Table2[[#This Row],[Cost Code]]</f>
        <v>020</v>
      </c>
    </row>
    <row r="26" spans="2:23" x14ac:dyDescent="0.35">
      <c r="B26" s="7" t="s">
        <v>146</v>
      </c>
      <c r="C26" s="12">
        <v>15007</v>
      </c>
      <c r="D26" s="7" t="s">
        <v>124</v>
      </c>
      <c r="F26" s="9" t="s">
        <v>60</v>
      </c>
      <c r="G26" s="11">
        <v>100</v>
      </c>
      <c r="H26" s="10" t="s">
        <v>44</v>
      </c>
      <c r="S26" s="1">
        <f>IF(ISNUMBER(SEARCH($P$2,T26)),MAX(S$4:S25)+1,0)</f>
        <v>0</v>
      </c>
      <c r="T26" s="1" t="str">
        <f t="shared" si="0"/>
        <v>Non-Billable Shop Time100021</v>
      </c>
      <c r="U26" s="1" t="str">
        <f>Table2[[#This Row],[Field Time ]]</f>
        <v>Non-Billable Shop Time</v>
      </c>
      <c r="V26" s="1">
        <f>Table2[[#This Row],[Phase Code]]</f>
        <v>100</v>
      </c>
      <c r="W26" s="1" t="str">
        <f>Table2[[#This Row],[Cost Code]]</f>
        <v>021</v>
      </c>
    </row>
    <row r="27" spans="2:23" x14ac:dyDescent="0.35">
      <c r="B27" s="7" t="s">
        <v>147</v>
      </c>
      <c r="C27" s="12">
        <v>15008</v>
      </c>
      <c r="D27" s="7" t="s">
        <v>124</v>
      </c>
      <c r="F27" s="9" t="s">
        <v>45</v>
      </c>
      <c r="G27" s="11">
        <v>100</v>
      </c>
      <c r="H27" s="10" t="s">
        <v>46</v>
      </c>
      <c r="S27" s="1">
        <f>IF(ISNUMBER(SEARCH($P$2,T27)),MAX(S$4:S26)+1,0)</f>
        <v>0</v>
      </c>
      <c r="T27" s="1" t="str">
        <f t="shared" si="0"/>
        <v>Travel100022</v>
      </c>
      <c r="U27" s="1" t="str">
        <f>Table2[[#This Row],[Field Time ]]</f>
        <v>Travel</v>
      </c>
      <c r="V27" s="1">
        <f>Table2[[#This Row],[Phase Code]]</f>
        <v>100</v>
      </c>
      <c r="W27" s="1" t="str">
        <f>Table2[[#This Row],[Cost Code]]</f>
        <v>022</v>
      </c>
    </row>
    <row r="28" spans="2:23" x14ac:dyDescent="0.35">
      <c r="B28" s="7" t="s">
        <v>133</v>
      </c>
      <c r="C28" s="12">
        <v>15009</v>
      </c>
      <c r="D28" s="7" t="s">
        <v>124</v>
      </c>
      <c r="F28" s="9" t="s">
        <v>53</v>
      </c>
      <c r="G28" s="11">
        <v>100</v>
      </c>
      <c r="H28" s="10" t="s">
        <v>50</v>
      </c>
      <c r="S28" s="1">
        <f>IF(ISNUMBER(SEARCH($P$2,T28)),MAX(S$4:S27)+1,0)</f>
        <v>0</v>
      </c>
      <c r="T28" s="1" t="str">
        <f t="shared" si="0"/>
        <v>Training100023</v>
      </c>
      <c r="U28" s="1" t="str">
        <f>Table2[[#This Row],[Field Time ]]</f>
        <v>Training</v>
      </c>
      <c r="V28" s="1">
        <f>Table2[[#This Row],[Phase Code]]</f>
        <v>100</v>
      </c>
      <c r="W28" s="1" t="str">
        <f>Table2[[#This Row],[Cost Code]]</f>
        <v>023</v>
      </c>
    </row>
    <row r="29" spans="2:23" x14ac:dyDescent="0.35">
      <c r="B29" s="7" t="s">
        <v>103</v>
      </c>
      <c r="C29" s="12">
        <v>16001</v>
      </c>
      <c r="D29" s="7" t="s">
        <v>125</v>
      </c>
      <c r="F29" s="9" t="s">
        <v>58</v>
      </c>
      <c r="G29" s="11">
        <v>100</v>
      </c>
      <c r="H29" s="10" t="s">
        <v>51</v>
      </c>
      <c r="S29" s="1">
        <f>IF(ISNUMBER(SEARCH($P$2,T29)),MAX(S$4:S28)+1,0)</f>
        <v>0</v>
      </c>
      <c r="T29" s="1" t="str">
        <f t="shared" si="0"/>
        <v>Mob/Demob100024</v>
      </c>
      <c r="U29" s="1" t="str">
        <f>Table2[[#This Row],[Field Time ]]</f>
        <v>Mob/Demob</v>
      </c>
      <c r="V29" s="1">
        <f>Table2[[#This Row],[Phase Code]]</f>
        <v>100</v>
      </c>
      <c r="W29" s="1" t="str">
        <f>Table2[[#This Row],[Cost Code]]</f>
        <v>024</v>
      </c>
    </row>
    <row r="30" spans="2:23" x14ac:dyDescent="0.35">
      <c r="B30" s="7" t="s">
        <v>104</v>
      </c>
      <c r="C30" s="12">
        <v>16002</v>
      </c>
      <c r="D30" s="7" t="s">
        <v>126</v>
      </c>
      <c r="F30" s="9" t="s">
        <v>64</v>
      </c>
      <c r="G30" s="11">
        <v>100</v>
      </c>
      <c r="H30" s="13" t="s">
        <v>63</v>
      </c>
      <c r="S30" s="1">
        <f>IF(ISNUMBER(SEARCH($P$2,T30)),MAX(S$4:S29)+1,0)</f>
        <v>0</v>
      </c>
      <c r="T30" s="1" t="str">
        <f t="shared" si="0"/>
        <v>Added/Out of Scope Work100025</v>
      </c>
      <c r="U30" s="1" t="str">
        <f>Table2[[#This Row],[Field Time ]]</f>
        <v>Added/Out of Scope Work</v>
      </c>
      <c r="V30" s="1">
        <f>Table2[[#This Row],[Phase Code]]</f>
        <v>100</v>
      </c>
      <c r="W30" s="1" t="str">
        <f>Table2[[#This Row],[Cost Code]]</f>
        <v>025</v>
      </c>
    </row>
    <row r="31" spans="2:23" x14ac:dyDescent="0.35">
      <c r="B31" s="7" t="s">
        <v>105</v>
      </c>
      <c r="C31" s="12">
        <v>16003</v>
      </c>
      <c r="D31" s="7" t="s">
        <v>127</v>
      </c>
      <c r="F31" s="9" t="s">
        <v>65</v>
      </c>
      <c r="G31" s="11">
        <v>100</v>
      </c>
      <c r="H31" s="13" t="s">
        <v>66</v>
      </c>
      <c r="S31" s="1">
        <f>IF(ISNUMBER(SEARCH($P$2,T31)),MAX(S$4:S30)+1,0)</f>
        <v>0</v>
      </c>
      <c r="T31" s="1" t="str">
        <f t="shared" si="0"/>
        <v>Primary Current Injection Testing100026</v>
      </c>
      <c r="U31" s="1" t="str">
        <f>Table2[[#This Row],[Field Time ]]</f>
        <v>Primary Current Injection Testing</v>
      </c>
      <c r="V31" s="1">
        <f>Table2[[#This Row],[Phase Code]]</f>
        <v>100</v>
      </c>
      <c r="W31" s="1" t="str">
        <f>Table2[[#This Row],[Cost Code]]</f>
        <v>026</v>
      </c>
    </row>
    <row r="32" spans="2:23" x14ac:dyDescent="0.35">
      <c r="B32" s="7" t="s">
        <v>106</v>
      </c>
      <c r="C32" s="12">
        <v>16004</v>
      </c>
      <c r="D32" s="7" t="s">
        <v>127</v>
      </c>
    </row>
    <row r="33" spans="2:4" x14ac:dyDescent="0.35">
      <c r="B33" s="7" t="s">
        <v>107</v>
      </c>
      <c r="C33" s="12">
        <v>16005</v>
      </c>
      <c r="D33" s="7" t="s">
        <v>128</v>
      </c>
    </row>
    <row r="34" spans="2:4" x14ac:dyDescent="0.35">
      <c r="B34" s="7" t="s">
        <v>108</v>
      </c>
      <c r="C34" s="12">
        <v>16006</v>
      </c>
      <c r="D34" s="7" t="s">
        <v>128</v>
      </c>
    </row>
    <row r="35" spans="2:4" x14ac:dyDescent="0.35">
      <c r="B35" s="14" t="s">
        <v>134</v>
      </c>
      <c r="C35" s="12">
        <v>16007</v>
      </c>
      <c r="D35" s="14" t="s">
        <v>129</v>
      </c>
    </row>
    <row r="36" spans="2:4" x14ac:dyDescent="0.35">
      <c r="B36" s="14" t="s">
        <v>148</v>
      </c>
      <c r="C36" s="12">
        <v>16008</v>
      </c>
      <c r="D36" s="14" t="s">
        <v>130</v>
      </c>
    </row>
    <row r="37" spans="2:4" x14ac:dyDescent="0.35">
      <c r="B37" s="14" t="s">
        <v>149</v>
      </c>
      <c r="C37" s="12">
        <v>16009</v>
      </c>
      <c r="D37" s="14" t="s">
        <v>131</v>
      </c>
    </row>
    <row r="38" spans="2:4" x14ac:dyDescent="0.35">
      <c r="B38" s="14" t="s">
        <v>109</v>
      </c>
      <c r="C38" s="12">
        <v>160010</v>
      </c>
      <c r="D38" s="14" t="s">
        <v>132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Project 1</vt:lpstr>
      <vt:lpstr>SourceData</vt:lpstr>
      <vt:lpstr>FieldTime</vt:lpstr>
      <vt:lpstr>FieldTimeSearch</vt:lpstr>
      <vt:lpstr>FieldTimeSearchRslt</vt:lpstr>
      <vt:lpstr>JobDesc</vt:lpstr>
      <vt:lpstr>OfficeTime</vt:lpstr>
    </vt:vector>
  </TitlesOfParts>
  <Manager/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mpotter@powerpros.net</dc:creator>
  <cp:lastModifiedBy>Adrian Imanuel</cp:lastModifiedBy>
  <cp:lastPrinted>2016-02-25T17:16:54Z</cp:lastPrinted>
  <dcterms:created xsi:type="dcterms:W3CDTF">2015-12-17T18:24:46Z</dcterms:created>
  <dcterms:modified xsi:type="dcterms:W3CDTF">2017-07-19T15:21:00Z</dcterms:modified>
</cp:coreProperties>
</file>